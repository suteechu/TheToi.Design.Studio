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PowerBI\Web\thetoi-design-studio\src\data\"/>
    </mc:Choice>
  </mc:AlternateContent>
  <xr:revisionPtr revIDLastSave="0" documentId="13_ncr:1_{493DFE4B-A975-423F-8F49-A0D18E731C91}" xr6:coauthVersionLast="47" xr6:coauthVersionMax="47" xr10:uidLastSave="{00000000-0000-0000-0000-000000000000}"/>
  <bookViews>
    <workbookView xWindow="-120" yWindow="-120" windowWidth="29040" windowHeight="15720" xr2:uid="{F54DE103-AEDC-42D0-8BE2-3FBDD9857704}"/>
  </bookViews>
  <sheets>
    <sheet name="Job-Suteechu" sheetId="3" r:id="rId1"/>
    <sheet name="ทีมช่าง" sheetId="1" r:id="rId2"/>
    <sheet name="บริการ" sheetId="4" r:id="rId3"/>
    <sheet name="ประเภทงาน" sheetId="5" r:id="rId4"/>
    <sheet name="สเปคงาน" sheetId="6" r:id="rId5"/>
  </sheets>
  <definedNames>
    <definedName name="_xlnm._FilterDatabase" localSheetId="0" hidden="1">'Job-Suteechu'!$A$1:$S$88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9" i="3" l="1"/>
  <c r="L89" i="3" s="1"/>
  <c r="S89" i="3" l="1"/>
  <c r="Q89" i="3"/>
  <c r="K84" i="3"/>
  <c r="L84" i="3" s="1"/>
  <c r="K21" i="3"/>
  <c r="Q21" i="3" s="1"/>
  <c r="K26" i="3"/>
  <c r="S26" i="3" s="1"/>
  <c r="K27" i="3"/>
  <c r="S27" i="3" s="1"/>
  <c r="K33" i="3"/>
  <c r="S33" i="3" s="1"/>
  <c r="K35" i="3"/>
  <c r="S35" i="3" s="1"/>
  <c r="K37" i="3"/>
  <c r="Q37" i="3" s="1"/>
  <c r="K46" i="3"/>
  <c r="L46" i="3" s="1"/>
  <c r="K47" i="3"/>
  <c r="L47" i="3" s="1"/>
  <c r="K48" i="3"/>
  <c r="S48" i="3" s="1"/>
  <c r="K49" i="3"/>
  <c r="S49" i="3" s="1"/>
  <c r="K50" i="3"/>
  <c r="S50" i="3" s="1"/>
  <c r="K61" i="3"/>
  <c r="L61" i="3" s="1"/>
  <c r="K79" i="3"/>
  <c r="S79" i="3" s="1"/>
  <c r="K90" i="3"/>
  <c r="Q90" i="3" s="1"/>
  <c r="K20" i="3"/>
  <c r="L20" i="3" s="1"/>
  <c r="K19" i="3"/>
  <c r="L19" i="3" s="1"/>
  <c r="K18" i="3"/>
  <c r="Q18" i="3" s="1"/>
  <c r="K17" i="3"/>
  <c r="S17" i="3" s="1"/>
  <c r="K16" i="3"/>
  <c r="S16" i="3" s="1"/>
  <c r="K15" i="3"/>
  <c r="L15" i="3" s="1"/>
  <c r="K14" i="3"/>
  <c r="L14" i="3" s="1"/>
  <c r="K13" i="3"/>
  <c r="L13" i="3" s="1"/>
  <c r="K12" i="3"/>
  <c r="Q12" i="3" s="1"/>
  <c r="K11" i="3"/>
  <c r="L11" i="3" s="1"/>
  <c r="K10" i="3"/>
  <c r="L10" i="3" s="1"/>
  <c r="K9" i="3"/>
  <c r="L9" i="3" s="1"/>
  <c r="K8" i="3"/>
  <c r="L8" i="3" s="1"/>
  <c r="K7" i="3"/>
  <c r="Q7" i="3" s="1"/>
  <c r="K6" i="3"/>
  <c r="S6" i="3" s="1"/>
  <c r="K5" i="3"/>
  <c r="Q5" i="3" s="1"/>
  <c r="K4" i="3"/>
  <c r="Q4" i="3" s="1"/>
  <c r="K3" i="3"/>
  <c r="L3" i="3" s="1"/>
  <c r="K2" i="3"/>
  <c r="Q2" i="3" s="1"/>
  <c r="K25" i="3"/>
  <c r="S25" i="3" s="1"/>
  <c r="K24" i="3"/>
  <c r="S24" i="3" s="1"/>
  <c r="K23" i="3"/>
  <c r="Q23" i="3" s="1"/>
  <c r="K22" i="3"/>
  <c r="S22" i="3" s="1"/>
  <c r="K32" i="3"/>
  <c r="Q32" i="3" s="1"/>
  <c r="K31" i="3"/>
  <c r="L31" i="3" s="1"/>
  <c r="K30" i="3"/>
  <c r="L30" i="3" s="1"/>
  <c r="K29" i="3"/>
  <c r="L29" i="3" s="1"/>
  <c r="K28" i="3"/>
  <c r="L28" i="3" s="1"/>
  <c r="K34" i="3"/>
  <c r="L34" i="3" s="1"/>
  <c r="K36" i="3"/>
  <c r="L36" i="3" s="1"/>
  <c r="K45" i="3"/>
  <c r="Q45" i="3" s="1"/>
  <c r="K44" i="3"/>
  <c r="Q44" i="3" s="1"/>
  <c r="K43" i="3"/>
  <c r="Q43" i="3" s="1"/>
  <c r="K42" i="3"/>
  <c r="Q42" i="3" s="1"/>
  <c r="K41" i="3"/>
  <c r="Q41" i="3" s="1"/>
  <c r="K40" i="3"/>
  <c r="S40" i="3" s="1"/>
  <c r="K39" i="3"/>
  <c r="S39" i="3" s="1"/>
  <c r="K38" i="3"/>
  <c r="Q38" i="3" s="1"/>
  <c r="K60" i="3"/>
  <c r="Q60" i="3" s="1"/>
  <c r="K59" i="3"/>
  <c r="S59" i="3" s="1"/>
  <c r="K58" i="3"/>
  <c r="Q58" i="3" s="1"/>
  <c r="K57" i="3"/>
  <c r="L57" i="3" s="1"/>
  <c r="K56" i="3"/>
  <c r="S56" i="3" s="1"/>
  <c r="K55" i="3"/>
  <c r="S55" i="3" s="1"/>
  <c r="K54" i="3"/>
  <c r="S54" i="3" s="1"/>
  <c r="K53" i="3"/>
  <c r="S53" i="3" s="1"/>
  <c r="K52" i="3"/>
  <c r="S52" i="3" s="1"/>
  <c r="K51" i="3"/>
  <c r="Q51" i="3" s="1"/>
  <c r="K78" i="3"/>
  <c r="S78" i="3" s="1"/>
  <c r="K77" i="3"/>
  <c r="S77" i="3" s="1"/>
  <c r="K76" i="3"/>
  <c r="Q76" i="3" s="1"/>
  <c r="K75" i="3"/>
  <c r="Q75" i="3" s="1"/>
  <c r="K74" i="3"/>
  <c r="L74" i="3" s="1"/>
  <c r="K73" i="3"/>
  <c r="L73" i="3" s="1"/>
  <c r="K72" i="3"/>
  <c r="L72" i="3" s="1"/>
  <c r="K71" i="3"/>
  <c r="L71" i="3" s="1"/>
  <c r="K70" i="3"/>
  <c r="Q70" i="3" s="1"/>
  <c r="K69" i="3"/>
  <c r="Q69" i="3" s="1"/>
  <c r="K68" i="3"/>
  <c r="S68" i="3" s="1"/>
  <c r="K67" i="3"/>
  <c r="L67" i="3" s="1"/>
  <c r="K66" i="3"/>
  <c r="L66" i="3" s="1"/>
  <c r="K65" i="3"/>
  <c r="L65" i="3" s="1"/>
  <c r="K64" i="3"/>
  <c r="Q64" i="3" s="1"/>
  <c r="K63" i="3"/>
  <c r="Q63" i="3" s="1"/>
  <c r="K62" i="3"/>
  <c r="S62" i="3" s="1"/>
  <c r="K88" i="3"/>
  <c r="Q88" i="3" s="1"/>
  <c r="K87" i="3"/>
  <c r="Q87" i="3" s="1"/>
  <c r="K86" i="3"/>
  <c r="S86" i="3" s="1"/>
  <c r="K85" i="3"/>
  <c r="Q85" i="3" s="1"/>
  <c r="K83" i="3"/>
  <c r="Q83" i="3" s="1"/>
  <c r="K82" i="3"/>
  <c r="S82" i="3" s="1"/>
  <c r="K81" i="3"/>
  <c r="L81" i="3" s="1"/>
  <c r="K80" i="3"/>
  <c r="L80" i="3" s="1"/>
  <c r="Q26" i="3" l="1"/>
  <c r="L35" i="3"/>
  <c r="Q33" i="3"/>
  <c r="L33" i="3"/>
  <c r="Q48" i="3"/>
  <c r="L48" i="3"/>
  <c r="L37" i="3"/>
  <c r="L21" i="3"/>
  <c r="L79" i="3"/>
  <c r="Q79" i="3"/>
  <c r="S37" i="3"/>
  <c r="S21" i="3"/>
  <c r="L26" i="3"/>
  <c r="Q27" i="3"/>
  <c r="L27" i="3"/>
  <c r="Q35" i="3"/>
  <c r="S47" i="3"/>
  <c r="Q47" i="3"/>
  <c r="S46" i="3"/>
  <c r="Q46" i="3"/>
  <c r="Q50" i="3"/>
  <c r="Q49" i="3"/>
  <c r="L50" i="3"/>
  <c r="L49" i="3"/>
  <c r="Q61" i="3"/>
  <c r="S61" i="3"/>
  <c r="Q78" i="3"/>
  <c r="S30" i="3"/>
  <c r="Q77" i="3"/>
  <c r="Q6" i="3"/>
  <c r="S76" i="3"/>
  <c r="L76" i="3"/>
  <c r="Q30" i="3"/>
  <c r="Q24" i="3"/>
  <c r="L87" i="3"/>
  <c r="S87" i="3"/>
  <c r="L90" i="3"/>
  <c r="S90" i="3"/>
  <c r="Q86" i="3"/>
  <c r="S32" i="3"/>
  <c r="L32" i="3"/>
  <c r="Q59" i="3"/>
  <c r="Q22" i="3"/>
  <c r="L25" i="3"/>
  <c r="S42" i="3"/>
  <c r="L7" i="3"/>
  <c r="L85" i="3"/>
  <c r="S64" i="3"/>
  <c r="L24" i="3"/>
  <c r="L23" i="3"/>
  <c r="S85" i="3"/>
  <c r="L86" i="3"/>
  <c r="Q25" i="3"/>
  <c r="L6" i="3"/>
  <c r="L5" i="3"/>
  <c r="L16" i="3"/>
  <c r="L88" i="3"/>
  <c r="S88" i="3"/>
  <c r="S10" i="3"/>
  <c r="S31" i="3"/>
  <c r="L78" i="3"/>
  <c r="L77" i="3"/>
  <c r="L60" i="3"/>
  <c r="S60" i="3"/>
  <c r="L59" i="3"/>
  <c r="Q31" i="3"/>
  <c r="L58" i="3"/>
  <c r="S58" i="3"/>
  <c r="L45" i="3"/>
  <c r="S45" i="3"/>
  <c r="L4" i="3"/>
  <c r="Q3" i="3"/>
  <c r="S15" i="3"/>
  <c r="S14" i="3"/>
  <c r="S12" i="3"/>
  <c r="S4" i="3"/>
  <c r="S3" i="3"/>
  <c r="Q15" i="3"/>
  <c r="Q16" i="3"/>
  <c r="Q14" i="3"/>
  <c r="S13" i="3"/>
  <c r="Q13" i="3"/>
  <c r="L12" i="3"/>
  <c r="S23" i="3"/>
  <c r="S29" i="3"/>
  <c r="Q29" i="3"/>
  <c r="Q39" i="3"/>
  <c r="L39" i="3"/>
  <c r="L38" i="3"/>
  <c r="Q57" i="3"/>
  <c r="S57" i="3"/>
  <c r="L63" i="3"/>
  <c r="Q66" i="3"/>
  <c r="S75" i="3"/>
  <c r="S67" i="3"/>
  <c r="Q68" i="3"/>
  <c r="S66" i="3"/>
  <c r="S63" i="3"/>
  <c r="L75" i="3"/>
  <c r="L68" i="3"/>
  <c r="L64" i="3"/>
  <c r="Q65" i="3"/>
  <c r="S65" i="3"/>
  <c r="Q67" i="3"/>
  <c r="Q82" i="3"/>
  <c r="S83" i="3"/>
  <c r="S84" i="3"/>
  <c r="Q84" i="3"/>
  <c r="L82" i="3"/>
  <c r="S80" i="3"/>
  <c r="Q80" i="3"/>
  <c r="L83" i="3"/>
  <c r="S81" i="3"/>
  <c r="Q81" i="3"/>
  <c r="S74" i="3"/>
  <c r="S73" i="3"/>
  <c r="L62" i="3"/>
  <c r="Q62" i="3"/>
  <c r="S71" i="3"/>
  <c r="S70" i="3"/>
  <c r="S69" i="3"/>
  <c r="S72" i="3"/>
  <c r="L70" i="3"/>
  <c r="L69" i="3"/>
  <c r="Q74" i="3"/>
  <c r="Q73" i="3"/>
  <c r="Q72" i="3"/>
  <c r="Q71" i="3"/>
  <c r="L54" i="3"/>
  <c r="L53" i="3"/>
  <c r="Q56" i="3"/>
  <c r="L51" i="3"/>
  <c r="Q55" i="3"/>
  <c r="L56" i="3"/>
  <c r="L55" i="3"/>
  <c r="L52" i="3"/>
  <c r="Q54" i="3"/>
  <c r="Q52" i="3"/>
  <c r="Q53" i="3"/>
  <c r="S51" i="3"/>
  <c r="S38" i="3"/>
  <c r="L40" i="3"/>
  <c r="S44" i="3"/>
  <c r="Q40" i="3"/>
  <c r="S43" i="3"/>
  <c r="L44" i="3"/>
  <c r="L42" i="3"/>
  <c r="S41" i="3"/>
  <c r="L41" i="3"/>
  <c r="L43" i="3"/>
  <c r="Q36" i="3"/>
  <c r="S36" i="3"/>
  <c r="S34" i="3"/>
  <c r="Q34" i="3"/>
  <c r="Q28" i="3"/>
  <c r="S28" i="3"/>
  <c r="L22" i="3"/>
  <c r="Q10" i="3"/>
  <c r="L18" i="3"/>
  <c r="S20" i="3"/>
  <c r="Q20" i="3"/>
  <c r="S19" i="3"/>
  <c r="Q19" i="3"/>
  <c r="S18" i="3"/>
  <c r="Q17" i="3"/>
  <c r="S7" i="3"/>
  <c r="S5" i="3"/>
  <c r="Q11" i="3"/>
  <c r="S9" i="3"/>
  <c r="Q9" i="3"/>
  <c r="S11" i="3"/>
  <c r="S8" i="3"/>
  <c r="L17" i="3"/>
  <c r="Q8" i="3"/>
  <c r="S2" i="3"/>
  <c r="L2" i="3"/>
</calcChain>
</file>

<file path=xl/sharedStrings.xml><?xml version="1.0" encoding="utf-8"?>
<sst xmlns="http://schemas.openxmlformats.org/spreadsheetml/2006/main" count="624" uniqueCount="162">
  <si>
    <t>ทีมช่าง</t>
  </si>
  <si>
    <t>จ่ายแล้ว</t>
  </si>
  <si>
    <t>-</t>
  </si>
  <si>
    <t>บ้านน็อคดาวน์</t>
  </si>
  <si>
    <t>เขียนหน้าโฉนด</t>
  </si>
  <si>
    <t>อื่นๆ</t>
  </si>
  <si>
    <t>3D-ชตินันท์ ระตะขันธ์</t>
  </si>
  <si>
    <t>หนองหัวคูครับ + โรงรถ V2</t>
  </si>
  <si>
    <t>นางหอมหวน สานีโท</t>
  </si>
  <si>
    <t>ปี</t>
  </si>
  <si>
    <t>BOQ</t>
  </si>
  <si>
    <t>ขอนก่อน(ลำชาดา)</t>
  </si>
  <si>
    <t>ประเภทงาน</t>
  </si>
  <si>
    <t>สเปคงาน</t>
  </si>
  <si>
    <t>บริการ</t>
  </si>
  <si>
    <t>แบบก่อสร้าง+3D</t>
  </si>
  <si>
    <t>แบบก่อสร้าง</t>
  </si>
  <si>
    <t>ผังบริเวณ</t>
  </si>
  <si>
    <t>อื่นฯ</t>
  </si>
  <si>
    <t>บาท/ตรม</t>
  </si>
  <si>
    <t>อุดรธานี</t>
  </si>
  <si>
    <t>ปทุมธานี</t>
  </si>
  <si>
    <t>สระบุรี</t>
  </si>
  <si>
    <t>ไม่ระบุ</t>
  </si>
  <si>
    <t>กทม</t>
  </si>
  <si>
    <t>จังหวัด</t>
  </si>
  <si>
    <t>บ้านพักอาศัยชั้นเดียว</t>
  </si>
  <si>
    <t>บ้านพักอาศัยชั้นครึ่ง</t>
  </si>
  <si>
    <t>บ้านพักอาศัยสองชั้น</t>
  </si>
  <si>
    <t>อาคารหอพัก</t>
  </si>
  <si>
    <t>อพาร์ทเม้นท์</t>
  </si>
  <si>
    <t>ชุด3Dเรนเดอร์</t>
  </si>
  <si>
    <t>ต่อเติม</t>
  </si>
  <si>
    <t>ทั่วไปฯ</t>
  </si>
  <si>
    <t>เหมาชุดผังโครงการ</t>
  </si>
  <si>
    <t>ช่างนิติพันธ์ เปือยยะ</t>
  </si>
  <si>
    <t>ช่างสุธีร์ ชุยรัมย์</t>
  </si>
  <si>
    <t>ช่างPAR</t>
  </si>
  <si>
    <t>ช่างนิพนธ์ ชัยจรินันท์</t>
  </si>
  <si>
    <t>ช่างมนตรี อุ่นแก้ว</t>
  </si>
  <si>
    <t>คุณธาริณี ขันทอง</t>
  </si>
  <si>
    <t>คุณภาไว จงเทพ</t>
  </si>
  <si>
    <t>คุณณัฐพล สุวรรณา</t>
  </si>
  <si>
    <t>คุณรุ่ง 23-29</t>
  </si>
  <si>
    <t>คุณปู 24-28</t>
  </si>
  <si>
    <t>คุณพี่อุ้ย/Type-A</t>
  </si>
  <si>
    <t>คุณพี่อุ้ย/Type-B</t>
  </si>
  <si>
    <t>คุณมัญฑิตา สมแสวง</t>
  </si>
  <si>
    <t>คุณศศิธร สิทธิไกรพงษ์</t>
  </si>
  <si>
    <t>คุณศศาลา ชัยโชคดี</t>
  </si>
  <si>
    <t>คุณวราภรณ์ ฮิลตัน</t>
  </si>
  <si>
    <t>คุณละมัย สวยรูป</t>
  </si>
  <si>
    <t>คุณน้ำทิพย์ แก่นทอง</t>
  </si>
  <si>
    <t>คุณผู้ใหญ่บุญมา</t>
  </si>
  <si>
    <t>คุณเนย</t>
  </si>
  <si>
    <t>คุณเจษฎา ฤาชัย(บ้านพัก)</t>
  </si>
  <si>
    <t>คุณธัญญ์ฐิตา ถาวรอริยพัฒน์</t>
  </si>
  <si>
    <t>คุณชตินันท์ ระตะขันธ์ V2.</t>
  </si>
  <si>
    <t>คุณปพิชญา ทิตะระ</t>
  </si>
  <si>
    <t>คุณมนตรี</t>
  </si>
  <si>
    <t>คุณสโรชา ใจอารีย์+4หลัง</t>
  </si>
  <si>
    <t>คุณคณาฤทธิ์</t>
  </si>
  <si>
    <t>คุณนางสาวปาริฉัตร บุญชู</t>
  </si>
  <si>
    <t>คุณปารณีย์ สิงห์จันทร์</t>
  </si>
  <si>
    <t>คุณวันดี บัวเล็ก</t>
  </si>
  <si>
    <t>คุณสำเนียง</t>
  </si>
  <si>
    <t>คุณวาสนา กลั่นประสม</t>
  </si>
  <si>
    <t>คุณวันเพ็ญ กรีมัส</t>
  </si>
  <si>
    <t>คุณจุฑาทิพย์ เหล่าพร</t>
  </si>
  <si>
    <t>คุณ78</t>
  </si>
  <si>
    <t>คุณสุรเชษฐ์ จันทร์ไกร</t>
  </si>
  <si>
    <t>คุณอุทัยวรรณ ตอดจรัสัน</t>
  </si>
  <si>
    <t>คุณเจษฎา ถาชัย</t>
  </si>
  <si>
    <t>คุณศัลชิต วงษ์คำ</t>
  </si>
  <si>
    <t>JoคุณA</t>
  </si>
  <si>
    <t>JoคุณB</t>
  </si>
  <si>
    <t>คุณสุภานัน กอบอรรถกิจ</t>
  </si>
  <si>
    <t>คุณรุ่งนภา ใยสุ่น</t>
  </si>
  <si>
    <t>คุณศักดิ์วิจิตร แก่นคำ</t>
  </si>
  <si>
    <t>คุณเพชรา ชวนะพันธุ์</t>
  </si>
  <si>
    <t>คุณศศิธรา วังคะฮาด-B</t>
  </si>
  <si>
    <t>คุณกัญญา จันทคีรี</t>
  </si>
  <si>
    <t>คุณNT003</t>
  </si>
  <si>
    <t>คุณมณีจันทร์ ยาพุทธา</t>
  </si>
  <si>
    <t>คุณณัฐรัช เฉียบแหลม</t>
  </si>
  <si>
    <t>คุณพรนิภา ไชยสิทธิ์</t>
  </si>
  <si>
    <t>คุณอุบลรัตน์ คันทะศรี (</t>
  </si>
  <si>
    <t>คุณสุระเชษฐ์ ชาสงวน</t>
  </si>
  <si>
    <t>คุณศิริลักษณ์ ตรีเนตร 3D</t>
  </si>
  <si>
    <t>คุณนิรัตน์ เพ็งแจ่มศรี</t>
  </si>
  <si>
    <t>คุณอภิสิทธิ์ เคหฐาน</t>
  </si>
  <si>
    <t>คุณธนาวุฒิ หยงเมือง</t>
  </si>
  <si>
    <t>คุณอุมาพร ผาบจันดา</t>
  </si>
  <si>
    <t>คุณจินดา เลี้ยวไพโรจน์</t>
  </si>
  <si>
    <t>คุณวัชรินทร์ ทิมดี</t>
  </si>
  <si>
    <t>คุณนนทบุรี A-3D</t>
  </si>
  <si>
    <t>คุณศศิธรา วังคะฮาด</t>
  </si>
  <si>
    <t>คุณขวัญข้าว ผิวนวล</t>
  </si>
  <si>
    <t>คุณสุภัทร เบ้าศรี</t>
  </si>
  <si>
    <t>คุณกนกอร ตระกูลทวีคูณ</t>
  </si>
  <si>
    <t>คุณฤาชัย สุดลาภา</t>
  </si>
  <si>
    <t>คุณ Beer Heim</t>
  </si>
  <si>
    <t>คุณวงศวริศ วิ</t>
  </si>
  <si>
    <t>คุณเมธาวี วิชาชัย</t>
  </si>
  <si>
    <t>คุณNT008</t>
  </si>
  <si>
    <t>คุณ.เบญจวรรณ วิจิตรกุล</t>
  </si>
  <si>
    <t>คุณ.XXXXX</t>
  </si>
  <si>
    <t>3ห้องนอน 2ห้องน้ำ</t>
  </si>
  <si>
    <t>4ห้องนอน 3ห้องน้ำ</t>
  </si>
  <si>
    <t>2ห้องนอน 3ห้องน้ำ</t>
  </si>
  <si>
    <t>3ห้องนอน 3ห้องน้ำ</t>
  </si>
  <si>
    <t>2ห้องนอน 1ห้องน้ำ</t>
  </si>
  <si>
    <t>3ห้องนอน 4ห้องน้ำ 2จอดรถ</t>
  </si>
  <si>
    <t>2ห้องนอน 2ห้องน้ำ 1จอดรถ</t>
  </si>
  <si>
    <t>1ห้องนอน 1ห้องน้ำ</t>
  </si>
  <si>
    <t>5ห้องนอน 4ห้องน้ำ 2จอดถ</t>
  </si>
  <si>
    <t>4ห้องนอน 4ห้องน้ำ</t>
  </si>
  <si>
    <t>3ห้องนอน 1ห้องน้ำ</t>
  </si>
  <si>
    <t>บ้าน(ตรม.)</t>
  </si>
  <si>
    <t>ราคา(ตรม.)</t>
  </si>
  <si>
    <t>ค่าแบบ</t>
  </si>
  <si>
    <t>ค้างจ่าย</t>
  </si>
  <si>
    <t>กําไรสุทธิ</t>
  </si>
  <si>
    <t>3Dเรนเดอร์</t>
  </si>
  <si>
    <t>โครงการ-Jock ไผ่ดำ-B</t>
  </si>
  <si>
    <t>โครงการ-Jock ไผ่ดำ-A</t>
  </si>
  <si>
    <t>โครงการ K-อังคณา ร่องแซง A1+</t>
  </si>
  <si>
    <t>โครงการ K-อังคณา ร่องแซง A1</t>
  </si>
  <si>
    <t>โครงการ K-อังคณา ร่องแซง B1</t>
  </si>
  <si>
    <t>โครงการ K-อังคณา ร่องแซง C1</t>
  </si>
  <si>
    <t>โครงการ NKหินกอง A</t>
  </si>
  <si>
    <t>โครงการ NKหินกอง B</t>
  </si>
  <si>
    <t>โครงการ K.Jock (แก้ไข The green)</t>
  </si>
  <si>
    <t>(เอกสารหาย) บ้านพยัคฆ์ ภูมิพิสัย</t>
  </si>
  <si>
    <t>คุณสมโภชน์ สังข์สุทธิ</t>
  </si>
  <si>
    <t>คุณชาญวิทย์ สืบจุ้ย</t>
  </si>
  <si>
    <t>คุณภูวนาท แหยมนาค</t>
  </si>
  <si>
    <t>2ห้องนอน 2ห้องน้ำ</t>
  </si>
  <si>
    <t>4ห้องนอน 2ห้องน้ำ</t>
  </si>
  <si>
    <t>5ห้องนอน 3ห้องน้ำ</t>
  </si>
  <si>
    <t>3ห้องนอน 2ห้องน้ำ 2จอดรถ</t>
  </si>
  <si>
    <t>2ห้องนอน 2ห้องน้ำ 2จอดรถ</t>
  </si>
  <si>
    <t>4ห้องนอน 3ห้องน้ำ 2จอดรถ</t>
  </si>
  <si>
    <t>5ห้องนอน 3ห้องน้ำ 2จอดรถ</t>
  </si>
  <si>
    <t>เอกสารวิชาชีพ</t>
  </si>
  <si>
    <t>Done</t>
  </si>
  <si>
    <t>PAR(Job)</t>
  </si>
  <si>
    <t>โครงการ K.Pu-เฟส1</t>
  </si>
  <si>
    <t>คุณกนกพร สุกรรณ</t>
  </si>
  <si>
    <t>ชื่อเจ้าของบ้าน</t>
  </si>
  <si>
    <t>ช่างนิติพันธ์(งานทั้วไป)</t>
  </si>
  <si>
    <t>ช่างนิพนธ์(งานทั้วไป)</t>
  </si>
  <si>
    <t>ช่างมนตรี(งานทั้วไป)</t>
  </si>
  <si>
    <t>ช่างสุธีร์(งานทั้วไป)</t>
  </si>
  <si>
    <t>วันเริ่ม</t>
  </si>
  <si>
    <t>กำหนดส่ง</t>
  </si>
  <si>
    <t>ยืนยันส่งงาน</t>
  </si>
  <si>
    <t>วิศวกร</t>
  </si>
  <si>
    <t>สถาปนิก</t>
  </si>
  <si>
    <t>คุมงาน</t>
  </si>
  <si>
    <t>ต้นทุนจริง (Cost)</t>
  </si>
  <si>
    <t>คุณอุทัยวรรณ ดอดจ์นั้น V2.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</si>
</sst>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</numFmts>
  <fonts count="2" x14ac:knownFonts="1">
    <font>
      <sz val="11"/>
      <color theme="1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14" fontId="0" fillId="0" borderId="0" xfId="0" applyNumberFormat="1"/>
    <xf numFmtId="44" fontId="0" fillId="0" borderId="0" xfId="1" applyFont="1"/>
    <xf numFmtId="2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1F87-EC4E-4DA4-B064-BCBB9B4A0E87}">
  <dimension ref="A1:S90"/>
  <sheetViews>
    <sheetView tabSelected="1" workbookViewId="0">
      <pane ySplit="1" topLeftCell="A62" activePane="bottomLeft" state="frozen"/>
      <selection pane="bottomLeft" activeCell="I92" sqref="I92"/>
    </sheetView>
  </sheetViews>
  <sheetFormatPr defaultRowHeight="14.25" x14ac:dyDescent="0.2"/>
  <cols>
    <col min="1" max="1" width="4.875" bestFit="1" customWidth="1"/>
    <col min="2" max="2" width="8.125" style="2" bestFit="1" customWidth="1"/>
    <col min="3" max="3" width="8.375" style="2" bestFit="1" customWidth="1"/>
    <col min="4" max="4" width="10.25" style="2" bestFit="1" customWidth="1"/>
    <col min="5" max="5" width="19.125" bestFit="1" customWidth="1"/>
    <col min="6" max="6" width="29.25" bestFit="1" customWidth="1"/>
    <col min="7" max="7" width="16.875" bestFit="1" customWidth="1"/>
    <col min="8" max="8" width="13.875" bestFit="1" customWidth="1"/>
    <col min="9" max="9" width="22.5" bestFit="1" customWidth="1"/>
    <col min="10" max="10" width="9.125" style="4" bestFit="1" customWidth="1"/>
    <col min="11" max="11" width="9.625" style="8" bestFit="1" customWidth="1"/>
    <col min="12" max="12" width="8.5" style="8" bestFit="1" customWidth="1"/>
    <col min="13" max="13" width="6.5" style="8" bestFit="1" customWidth="1"/>
    <col min="14" max="14" width="7.375" style="8" bestFit="1" customWidth="1"/>
    <col min="15" max="15" width="6.5" style="8" bestFit="1" customWidth="1"/>
    <col min="16" max="16" width="14.125" style="8" bestFit="1" customWidth="1"/>
    <col min="17" max="19" width="8.5" style="8" bestFit="1" customWidth="1"/>
  </cols>
  <sheetData>
    <row r="1" spans="1:19" x14ac:dyDescent="0.2">
      <c r="A1" t="s">
        <v>9</v>
      </c>
      <c r="B1" t="s">
        <v>154</v>
      </c>
      <c r="C1" t="s">
        <v>155</v>
      </c>
      <c r="D1" t="s">
        <v>156</v>
      </c>
      <c r="E1" t="s">
        <v>0</v>
      </c>
      <c r="F1" t="s">
        <v>149</v>
      </c>
      <c r="G1" t="s">
        <v>12</v>
      </c>
      <c r="H1" t="s">
        <v>14</v>
      </c>
      <c r="I1" t="s">
        <v>13</v>
      </c>
      <c r="J1" t="s">
        <v>118</v>
      </c>
      <c r="K1" t="s">
        <v>119</v>
      </c>
      <c r="L1" t="s">
        <v>120</v>
      </c>
      <c r="M1" t="s">
        <v>157</v>
      </c>
      <c r="N1" t="s">
        <v>158</v>
      </c>
      <c r="O1" t="s">
        <v>159</v>
      </c>
      <c r="P1" t="s">
        <v>160</v>
      </c>
      <c r="Q1" t="s">
        <v>121</v>
      </c>
      <c r="R1" t="s">
        <v>1</v>
      </c>
      <c r="S1" t="s">
        <v>122</v>
      </c>
    </row>
    <row r="2" spans="1:19" x14ac:dyDescent="0.2">
      <c r="A2">
        <v>2024</v>
      </c>
      <c r="B2" s="2">
        <v>45298</v>
      </c>
      <c r="C2" s="2">
        <v>45303</v>
      </c>
      <c r="D2" s="2" t="s">
        <v>145</v>
      </c>
      <c r="E2" s="5" t="s">
        <v>36</v>
      </c>
      <c r="F2" t="s">
        <v>74</v>
      </c>
      <c r="G2" t="s">
        <v>26</v>
      </c>
      <c r="H2" t="s">
        <v>15</v>
      </c>
      <c r="I2" t="s">
        <v>107</v>
      </c>
      <c r="J2" s="4">
        <v>115.35</v>
      </c>
      <c r="K2" s="8">
        <f>IFERROR(VLOOKUP(E2, ทีมช่าง!$A$2:$C$33, 3, 0), 0)</f>
        <v>80</v>
      </c>
      <c r="L2" s="8">
        <f t="shared" ref="L2:L33" si="0">J2*K2</f>
        <v>9228</v>
      </c>
      <c r="M2" s="8">
        <v>0</v>
      </c>
      <c r="N2" s="8">
        <v>0</v>
      </c>
      <c r="O2" s="8">
        <v>0</v>
      </c>
      <c r="P2" s="8">
        <v>0</v>
      </c>
      <c r="Q2" s="8">
        <f>K2*J2+M2+N2+O2-P2</f>
        <v>9228</v>
      </c>
      <c r="R2" s="8">
        <v>9228</v>
      </c>
      <c r="S2" s="8">
        <f t="shared" ref="S2:S33" si="1">(K2*J2)+(M2+N2+O2)-P2</f>
        <v>9228</v>
      </c>
    </row>
    <row r="3" spans="1:19" x14ac:dyDescent="0.2">
      <c r="A3">
        <v>2024</v>
      </c>
      <c r="B3" s="2">
        <v>45308</v>
      </c>
      <c r="C3" s="2">
        <v>45313</v>
      </c>
      <c r="D3" s="2" t="s">
        <v>145</v>
      </c>
      <c r="E3" s="5" t="s">
        <v>36</v>
      </c>
      <c r="F3" t="s">
        <v>75</v>
      </c>
      <c r="G3" t="s">
        <v>26</v>
      </c>
      <c r="H3" t="s">
        <v>15</v>
      </c>
      <c r="I3" t="s">
        <v>113</v>
      </c>
      <c r="J3" s="4">
        <v>80.5</v>
      </c>
      <c r="K3" s="8">
        <f>IFERROR(VLOOKUP(E3, ทีมช่าง!$A$2:$C$33, 3, 0), 0)</f>
        <v>80</v>
      </c>
      <c r="L3" s="8">
        <f t="shared" si="0"/>
        <v>6440</v>
      </c>
      <c r="M3" s="8">
        <v>0</v>
      </c>
      <c r="N3" s="8">
        <v>0</v>
      </c>
      <c r="O3" s="8">
        <v>0</v>
      </c>
      <c r="P3" s="8">
        <v>0</v>
      </c>
      <c r="Q3" s="8">
        <f t="shared" ref="Q3:Q66" si="2">K3*J3+M3+N3+O3-P3</f>
        <v>6440</v>
      </c>
      <c r="R3" s="8">
        <v>6440</v>
      </c>
      <c r="S3" s="8">
        <f t="shared" si="1"/>
        <v>6440</v>
      </c>
    </row>
    <row r="4" spans="1:19" x14ac:dyDescent="0.2">
      <c r="A4">
        <v>2024</v>
      </c>
      <c r="B4" s="2">
        <v>45318</v>
      </c>
      <c r="C4" s="2">
        <v>45323</v>
      </c>
      <c r="D4" s="2" t="s">
        <v>145</v>
      </c>
      <c r="E4" s="5" t="s">
        <v>36</v>
      </c>
      <c r="F4" t="s">
        <v>126</v>
      </c>
      <c r="G4" t="s">
        <v>26</v>
      </c>
      <c r="H4" t="s">
        <v>15</v>
      </c>
      <c r="I4" t="s">
        <v>111</v>
      </c>
      <c r="J4" s="4">
        <v>115.5</v>
      </c>
      <c r="K4" s="8">
        <f>IFERROR(VLOOKUP(E4, ทีมช่าง!$A$2:$C$33, 3, 0), 0)</f>
        <v>80</v>
      </c>
      <c r="L4" s="8">
        <f t="shared" si="0"/>
        <v>9240</v>
      </c>
      <c r="M4" s="8">
        <v>0</v>
      </c>
      <c r="N4" s="8">
        <v>0</v>
      </c>
      <c r="O4" s="8">
        <v>0</v>
      </c>
      <c r="P4" s="8">
        <v>0</v>
      </c>
      <c r="Q4" s="8">
        <f t="shared" si="2"/>
        <v>9240</v>
      </c>
      <c r="R4" s="8">
        <v>9240</v>
      </c>
      <c r="S4" s="8">
        <f t="shared" si="1"/>
        <v>9240</v>
      </c>
    </row>
    <row r="5" spans="1:19" x14ac:dyDescent="0.2">
      <c r="A5">
        <v>2024</v>
      </c>
      <c r="B5" s="2">
        <v>45328</v>
      </c>
      <c r="C5" s="2">
        <v>45333</v>
      </c>
      <c r="D5" s="2" t="s">
        <v>145</v>
      </c>
      <c r="E5" s="5" t="s">
        <v>36</v>
      </c>
      <c r="F5" t="s">
        <v>127</v>
      </c>
      <c r="G5" t="s">
        <v>26</v>
      </c>
      <c r="H5" t="s">
        <v>15</v>
      </c>
      <c r="I5" t="s">
        <v>111</v>
      </c>
      <c r="J5" s="4">
        <v>105</v>
      </c>
      <c r="K5" s="8">
        <f>IFERROR(VLOOKUP(E5, ทีมช่าง!$A$2:$C$33, 3, 0), 0)</f>
        <v>80</v>
      </c>
      <c r="L5" s="8">
        <f t="shared" si="0"/>
        <v>8400</v>
      </c>
      <c r="M5" s="8">
        <v>0</v>
      </c>
      <c r="N5" s="8">
        <v>0</v>
      </c>
      <c r="O5" s="8">
        <v>0</v>
      </c>
      <c r="P5" s="8">
        <v>0</v>
      </c>
      <c r="Q5" s="8">
        <f t="shared" si="2"/>
        <v>8400</v>
      </c>
      <c r="R5" s="8">
        <v>8400</v>
      </c>
      <c r="S5" s="8">
        <f t="shared" si="1"/>
        <v>8400</v>
      </c>
    </row>
    <row r="6" spans="1:19" x14ac:dyDescent="0.2">
      <c r="A6">
        <v>2024</v>
      </c>
      <c r="B6" s="2">
        <v>45338</v>
      </c>
      <c r="C6" s="2">
        <v>45343</v>
      </c>
      <c r="D6" s="2" t="s">
        <v>145</v>
      </c>
      <c r="E6" s="5" t="s">
        <v>36</v>
      </c>
      <c r="F6" t="s">
        <v>128</v>
      </c>
      <c r="G6" t="s">
        <v>26</v>
      </c>
      <c r="H6" t="s">
        <v>15</v>
      </c>
      <c r="I6" t="s">
        <v>111</v>
      </c>
      <c r="J6" s="4">
        <v>105</v>
      </c>
      <c r="K6" s="8">
        <f>IFERROR(VLOOKUP(E6, ทีมช่าง!$A$2:$C$33, 3, 0), 0)</f>
        <v>80</v>
      </c>
      <c r="L6" s="8">
        <f t="shared" si="0"/>
        <v>8400</v>
      </c>
      <c r="M6" s="8">
        <v>0</v>
      </c>
      <c r="N6" s="8">
        <v>0</v>
      </c>
      <c r="O6" s="8">
        <v>0</v>
      </c>
      <c r="P6" s="8">
        <v>0</v>
      </c>
      <c r="Q6" s="8">
        <f t="shared" si="2"/>
        <v>8400</v>
      </c>
      <c r="R6" s="8">
        <v>8400</v>
      </c>
      <c r="S6" s="8">
        <f t="shared" si="1"/>
        <v>8400</v>
      </c>
    </row>
    <row r="7" spans="1:19" x14ac:dyDescent="0.2">
      <c r="A7">
        <v>2024</v>
      </c>
      <c r="B7" s="2">
        <v>45348</v>
      </c>
      <c r="C7" s="2">
        <v>45353</v>
      </c>
      <c r="D7" s="2" t="s">
        <v>145</v>
      </c>
      <c r="E7" s="5" t="s">
        <v>36</v>
      </c>
      <c r="F7" t="s">
        <v>129</v>
      </c>
      <c r="G7" t="s">
        <v>26</v>
      </c>
      <c r="H7" t="s">
        <v>15</v>
      </c>
      <c r="I7" t="s">
        <v>111</v>
      </c>
      <c r="J7" s="4">
        <v>105</v>
      </c>
      <c r="K7" s="8">
        <f>IFERROR(VLOOKUP(E7, ทีมช่าง!$A$2:$C$33, 3, 0), 0)</f>
        <v>80</v>
      </c>
      <c r="L7" s="8">
        <f t="shared" si="0"/>
        <v>8400</v>
      </c>
      <c r="M7" s="8">
        <v>0</v>
      </c>
      <c r="N7" s="8">
        <v>0</v>
      </c>
      <c r="O7" s="8">
        <v>0</v>
      </c>
      <c r="P7" s="8">
        <v>0</v>
      </c>
      <c r="Q7" s="8">
        <f t="shared" si="2"/>
        <v>8400</v>
      </c>
      <c r="R7" s="8">
        <v>8400</v>
      </c>
      <c r="S7" s="8">
        <f t="shared" si="1"/>
        <v>8400</v>
      </c>
    </row>
    <row r="8" spans="1:19" x14ac:dyDescent="0.2">
      <c r="A8">
        <v>2024</v>
      </c>
      <c r="B8" s="2">
        <v>45358</v>
      </c>
      <c r="C8" s="2">
        <v>45363</v>
      </c>
      <c r="D8" s="2" t="s">
        <v>145</v>
      </c>
      <c r="E8" s="5" t="s">
        <v>36</v>
      </c>
      <c r="F8" t="s">
        <v>79</v>
      </c>
      <c r="G8" t="s">
        <v>26</v>
      </c>
      <c r="H8" t="s">
        <v>15</v>
      </c>
      <c r="I8" t="s">
        <v>111</v>
      </c>
      <c r="J8" s="4">
        <v>179.5</v>
      </c>
      <c r="K8" s="8">
        <f>IFERROR(VLOOKUP(E8, ทีมช่าง!$A$2:$C$33, 3, 0), 0)</f>
        <v>80</v>
      </c>
      <c r="L8" s="8">
        <f t="shared" si="0"/>
        <v>14360</v>
      </c>
      <c r="M8" s="8">
        <v>5000</v>
      </c>
      <c r="N8" s="8">
        <v>0</v>
      </c>
      <c r="O8" s="8">
        <v>0</v>
      </c>
      <c r="P8" s="8">
        <v>500</v>
      </c>
      <c r="Q8" s="8">
        <f t="shared" si="2"/>
        <v>18860</v>
      </c>
      <c r="R8" s="8">
        <v>18860</v>
      </c>
      <c r="S8" s="8">
        <f t="shared" si="1"/>
        <v>18860</v>
      </c>
    </row>
    <row r="9" spans="1:19" x14ac:dyDescent="0.2">
      <c r="A9">
        <v>2024</v>
      </c>
      <c r="B9" s="2">
        <v>45368</v>
      </c>
      <c r="C9" s="2">
        <v>45373</v>
      </c>
      <c r="D9" s="2" t="s">
        <v>145</v>
      </c>
      <c r="E9" s="5" t="s">
        <v>36</v>
      </c>
      <c r="F9" t="s">
        <v>130</v>
      </c>
      <c r="G9" t="s">
        <v>26</v>
      </c>
      <c r="H9" t="s">
        <v>15</v>
      </c>
      <c r="I9" t="s">
        <v>111</v>
      </c>
      <c r="J9" s="4">
        <v>85</v>
      </c>
      <c r="K9" s="8">
        <f>IFERROR(VLOOKUP(E9, ทีมช่าง!$A$2:$C$33, 3, 0), 0)</f>
        <v>80</v>
      </c>
      <c r="L9" s="8">
        <f t="shared" si="0"/>
        <v>6800</v>
      </c>
      <c r="M9" s="8">
        <v>0</v>
      </c>
      <c r="N9" s="8">
        <v>0</v>
      </c>
      <c r="O9" s="8">
        <v>0</v>
      </c>
      <c r="P9" s="8">
        <v>0</v>
      </c>
      <c r="Q9" s="8">
        <f t="shared" si="2"/>
        <v>6800</v>
      </c>
      <c r="R9" s="8">
        <v>6800</v>
      </c>
      <c r="S9" s="8">
        <f t="shared" si="1"/>
        <v>6800</v>
      </c>
    </row>
    <row r="10" spans="1:19" x14ac:dyDescent="0.2">
      <c r="A10">
        <v>2024</v>
      </c>
      <c r="B10" s="2">
        <v>45378</v>
      </c>
      <c r="C10" s="2">
        <v>45383</v>
      </c>
      <c r="D10" s="2" t="s">
        <v>145</v>
      </c>
      <c r="E10" s="5" t="s">
        <v>36</v>
      </c>
      <c r="F10" t="s">
        <v>131</v>
      </c>
      <c r="G10" t="s">
        <v>26</v>
      </c>
      <c r="H10" t="s">
        <v>15</v>
      </c>
      <c r="I10" t="s">
        <v>107</v>
      </c>
      <c r="J10" s="4">
        <v>105</v>
      </c>
      <c r="K10" s="8">
        <f>IFERROR(VLOOKUP(E10, ทีมช่าง!$A$2:$C$33, 3, 0), 0)</f>
        <v>80</v>
      </c>
      <c r="L10" s="8">
        <f t="shared" si="0"/>
        <v>8400</v>
      </c>
      <c r="M10" s="8">
        <v>0</v>
      </c>
      <c r="N10" s="8">
        <v>0</v>
      </c>
      <c r="O10" s="8">
        <v>0</v>
      </c>
      <c r="P10" s="8">
        <v>0</v>
      </c>
      <c r="Q10" s="8">
        <f t="shared" si="2"/>
        <v>8400</v>
      </c>
      <c r="R10" s="8">
        <v>8400</v>
      </c>
      <c r="S10" s="8">
        <f t="shared" si="1"/>
        <v>8400</v>
      </c>
    </row>
    <row r="11" spans="1:19" x14ac:dyDescent="0.2">
      <c r="A11">
        <v>2024</v>
      </c>
      <c r="B11" s="2">
        <v>45388</v>
      </c>
      <c r="C11" s="2">
        <v>45393</v>
      </c>
      <c r="D11" s="2" t="s">
        <v>145</v>
      </c>
      <c r="E11" s="5" t="s">
        <v>39</v>
      </c>
      <c r="F11" t="s">
        <v>80</v>
      </c>
      <c r="G11" t="s">
        <v>26</v>
      </c>
      <c r="H11" t="s">
        <v>15</v>
      </c>
      <c r="I11" t="s">
        <v>111</v>
      </c>
      <c r="J11" s="4">
        <v>114.5</v>
      </c>
      <c r="K11" s="8">
        <f>IFERROR(VLOOKUP(E11, ทีมช่าง!$A$2:$C$33, 3, 0), 0)</f>
        <v>70</v>
      </c>
      <c r="L11" s="8">
        <f t="shared" si="0"/>
        <v>8015</v>
      </c>
      <c r="M11" s="8">
        <v>0</v>
      </c>
      <c r="N11" s="8">
        <v>0</v>
      </c>
      <c r="O11" s="8">
        <v>0</v>
      </c>
      <c r="P11" s="8">
        <v>0</v>
      </c>
      <c r="Q11" s="8">
        <f t="shared" si="2"/>
        <v>8015</v>
      </c>
      <c r="R11" s="8">
        <v>8015</v>
      </c>
      <c r="S11" s="8">
        <f t="shared" si="1"/>
        <v>8015</v>
      </c>
    </row>
    <row r="12" spans="1:19" x14ac:dyDescent="0.2">
      <c r="A12">
        <v>2024</v>
      </c>
      <c r="B12" s="2">
        <v>45398</v>
      </c>
      <c r="C12" s="2">
        <v>45403</v>
      </c>
      <c r="D12" s="2" t="s">
        <v>145</v>
      </c>
      <c r="E12" s="5" t="s">
        <v>35</v>
      </c>
      <c r="F12" t="s">
        <v>81</v>
      </c>
      <c r="G12" t="s">
        <v>26</v>
      </c>
      <c r="H12" t="s">
        <v>15</v>
      </c>
      <c r="I12" t="s">
        <v>107</v>
      </c>
      <c r="J12" s="4">
        <v>110</v>
      </c>
      <c r="K12" s="8">
        <f>IFERROR(VLOOKUP(E12, ทีมช่าง!$A$2:$C$33, 3, 0), 0)</f>
        <v>80</v>
      </c>
      <c r="L12" s="8">
        <f t="shared" si="0"/>
        <v>8800</v>
      </c>
      <c r="M12" s="8">
        <v>0</v>
      </c>
      <c r="N12" s="8">
        <v>0</v>
      </c>
      <c r="O12" s="8">
        <v>0</v>
      </c>
      <c r="P12" s="8">
        <v>0</v>
      </c>
      <c r="Q12" s="8">
        <f t="shared" si="2"/>
        <v>8800</v>
      </c>
      <c r="R12" s="8">
        <v>8800</v>
      </c>
      <c r="S12" s="8">
        <f t="shared" si="1"/>
        <v>8800</v>
      </c>
    </row>
    <row r="13" spans="1:19" x14ac:dyDescent="0.2">
      <c r="A13">
        <v>2024</v>
      </c>
      <c r="B13" s="2">
        <v>45408</v>
      </c>
      <c r="C13" s="2">
        <v>45413</v>
      </c>
      <c r="D13" s="2" t="s">
        <v>145</v>
      </c>
      <c r="E13" s="5" t="s">
        <v>35</v>
      </c>
      <c r="F13" t="s">
        <v>82</v>
      </c>
      <c r="G13" t="s">
        <v>26</v>
      </c>
      <c r="H13" t="s">
        <v>15</v>
      </c>
      <c r="I13" t="s">
        <v>113</v>
      </c>
      <c r="J13" s="4">
        <v>93</v>
      </c>
      <c r="K13" s="8">
        <f>IFERROR(VLOOKUP(E13, ทีมช่าง!$A$2:$C$33, 3, 0), 0)</f>
        <v>80</v>
      </c>
      <c r="L13" s="8">
        <f t="shared" si="0"/>
        <v>7440</v>
      </c>
      <c r="M13" s="8">
        <v>0</v>
      </c>
      <c r="N13" s="8">
        <v>0</v>
      </c>
      <c r="O13" s="8">
        <v>0</v>
      </c>
      <c r="P13" s="8">
        <v>0</v>
      </c>
      <c r="Q13" s="8">
        <f t="shared" si="2"/>
        <v>7440</v>
      </c>
      <c r="R13" s="8">
        <v>7440</v>
      </c>
      <c r="S13" s="8">
        <f t="shared" si="1"/>
        <v>7440</v>
      </c>
    </row>
    <row r="14" spans="1:19" x14ac:dyDescent="0.2">
      <c r="A14">
        <v>2024</v>
      </c>
      <c r="B14" s="2">
        <v>45418</v>
      </c>
      <c r="C14" s="2">
        <v>45423</v>
      </c>
      <c r="D14" s="2" t="s">
        <v>145</v>
      </c>
      <c r="E14" s="5" t="s">
        <v>35</v>
      </c>
      <c r="F14" t="s">
        <v>83</v>
      </c>
      <c r="G14" t="s">
        <v>27</v>
      </c>
      <c r="H14" t="s">
        <v>15</v>
      </c>
      <c r="I14" t="s">
        <v>107</v>
      </c>
      <c r="J14" s="4">
        <v>172</v>
      </c>
      <c r="K14" s="8">
        <f>IFERROR(VLOOKUP(E14, ทีมช่าง!$A$2:$C$33, 3, 0), 0)</f>
        <v>80</v>
      </c>
      <c r="L14" s="8">
        <f t="shared" si="0"/>
        <v>13760</v>
      </c>
      <c r="M14" s="8">
        <v>3500</v>
      </c>
      <c r="N14" s="8">
        <v>3500</v>
      </c>
      <c r="O14" s="8">
        <v>0</v>
      </c>
      <c r="P14" s="8">
        <v>0</v>
      </c>
      <c r="Q14" s="8">
        <f t="shared" si="2"/>
        <v>20760</v>
      </c>
      <c r="R14" s="8">
        <v>20760</v>
      </c>
      <c r="S14" s="8">
        <f t="shared" si="1"/>
        <v>20760</v>
      </c>
    </row>
    <row r="15" spans="1:19" x14ac:dyDescent="0.2">
      <c r="A15">
        <v>2024</v>
      </c>
      <c r="B15" s="2">
        <v>45428</v>
      </c>
      <c r="C15" s="2">
        <v>45433</v>
      </c>
      <c r="D15" s="2" t="s">
        <v>145</v>
      </c>
      <c r="E15" s="5" t="s">
        <v>35</v>
      </c>
      <c r="F15" t="s">
        <v>84</v>
      </c>
      <c r="G15" t="s">
        <v>26</v>
      </c>
      <c r="H15" t="s">
        <v>15</v>
      </c>
      <c r="I15" t="s">
        <v>107</v>
      </c>
      <c r="J15" s="4">
        <v>135</v>
      </c>
      <c r="K15" s="8">
        <f>IFERROR(VLOOKUP(E15, ทีมช่าง!$A$2:$C$33, 3, 0), 0)</f>
        <v>80</v>
      </c>
      <c r="L15" s="8">
        <f t="shared" si="0"/>
        <v>10800</v>
      </c>
      <c r="M15" s="8">
        <v>0</v>
      </c>
      <c r="N15" s="8">
        <v>0</v>
      </c>
      <c r="O15" s="8">
        <v>0</v>
      </c>
      <c r="P15" s="8">
        <v>0</v>
      </c>
      <c r="Q15" s="8">
        <f t="shared" si="2"/>
        <v>10800</v>
      </c>
      <c r="R15" s="8">
        <v>10800</v>
      </c>
      <c r="S15" s="8">
        <f t="shared" si="1"/>
        <v>10800</v>
      </c>
    </row>
    <row r="16" spans="1:19" x14ac:dyDescent="0.2">
      <c r="A16">
        <v>2024</v>
      </c>
      <c r="B16" s="2">
        <v>45438</v>
      </c>
      <c r="C16" s="2">
        <v>45443</v>
      </c>
      <c r="D16" s="2" t="s">
        <v>145</v>
      </c>
      <c r="E16" s="5" t="s">
        <v>35</v>
      </c>
      <c r="F16" t="s">
        <v>8</v>
      </c>
      <c r="G16" t="s">
        <v>29</v>
      </c>
      <c r="H16" t="s">
        <v>15</v>
      </c>
      <c r="I16" s="5" t="s">
        <v>18</v>
      </c>
      <c r="J16" s="4">
        <v>477</v>
      </c>
      <c r="K16" s="8">
        <f>IFERROR(VLOOKUP(E16, ทีมช่าง!$A$2:$C$33, 3, 0), 0)</f>
        <v>80</v>
      </c>
      <c r="L16" s="8">
        <f t="shared" si="0"/>
        <v>38160</v>
      </c>
      <c r="M16" s="8">
        <v>5000</v>
      </c>
      <c r="N16" s="8">
        <v>5000</v>
      </c>
      <c r="O16" s="8">
        <v>5000</v>
      </c>
      <c r="P16" s="8">
        <v>11500</v>
      </c>
      <c r="Q16" s="8">
        <f t="shared" si="2"/>
        <v>41660</v>
      </c>
      <c r="R16" s="8">
        <v>41660</v>
      </c>
      <c r="S16" s="8">
        <f t="shared" si="1"/>
        <v>41660</v>
      </c>
    </row>
    <row r="17" spans="1:19" x14ac:dyDescent="0.2">
      <c r="A17">
        <v>2024</v>
      </c>
      <c r="B17" s="2">
        <v>45448</v>
      </c>
      <c r="C17" s="2">
        <v>45453</v>
      </c>
      <c r="D17" s="2" t="s">
        <v>145</v>
      </c>
      <c r="E17" s="5" t="s">
        <v>35</v>
      </c>
      <c r="F17" t="s">
        <v>85</v>
      </c>
      <c r="G17" t="s">
        <v>28</v>
      </c>
      <c r="H17" t="s">
        <v>15</v>
      </c>
      <c r="I17" t="s">
        <v>107</v>
      </c>
      <c r="J17" s="4">
        <v>210</v>
      </c>
      <c r="K17" s="8">
        <f>IFERROR(VLOOKUP(E17, ทีมช่าง!$A$2:$C$33, 3, 0), 0)</f>
        <v>80</v>
      </c>
      <c r="L17" s="8">
        <f t="shared" si="0"/>
        <v>16800</v>
      </c>
      <c r="M17" s="8">
        <v>5000</v>
      </c>
      <c r="N17" s="8">
        <v>0</v>
      </c>
      <c r="O17" s="8">
        <v>0</v>
      </c>
      <c r="P17" s="8">
        <v>500</v>
      </c>
      <c r="Q17" s="8">
        <f t="shared" si="2"/>
        <v>21300</v>
      </c>
      <c r="R17" s="8">
        <v>21300</v>
      </c>
      <c r="S17" s="8">
        <f t="shared" si="1"/>
        <v>21300</v>
      </c>
    </row>
    <row r="18" spans="1:19" x14ac:dyDescent="0.2">
      <c r="A18">
        <v>2024</v>
      </c>
      <c r="B18" s="2">
        <v>45458</v>
      </c>
      <c r="C18" s="2">
        <v>45463</v>
      </c>
      <c r="D18" s="2" t="s">
        <v>145</v>
      </c>
      <c r="E18" s="5" t="s">
        <v>35</v>
      </c>
      <c r="F18" t="s">
        <v>86</v>
      </c>
      <c r="G18" t="s">
        <v>27</v>
      </c>
      <c r="H18" t="s">
        <v>15</v>
      </c>
      <c r="I18" t="s">
        <v>113</v>
      </c>
      <c r="J18" s="4">
        <v>115</v>
      </c>
      <c r="K18" s="8">
        <f>IFERROR(VLOOKUP(E18, ทีมช่าง!$A$2:$C$33, 3, 0), 0)</f>
        <v>80</v>
      </c>
      <c r="L18" s="8">
        <f t="shared" si="0"/>
        <v>9200</v>
      </c>
      <c r="M18" s="8">
        <v>0</v>
      </c>
      <c r="N18" s="8">
        <v>0</v>
      </c>
      <c r="O18" s="8">
        <v>0</v>
      </c>
      <c r="P18" s="8">
        <v>0</v>
      </c>
      <c r="Q18" s="8">
        <f t="shared" si="2"/>
        <v>9200</v>
      </c>
      <c r="R18" s="8">
        <v>9200</v>
      </c>
      <c r="S18" s="8">
        <f t="shared" si="1"/>
        <v>9200</v>
      </c>
    </row>
    <row r="19" spans="1:19" x14ac:dyDescent="0.2">
      <c r="A19">
        <v>2024</v>
      </c>
      <c r="B19" s="2">
        <v>45468</v>
      </c>
      <c r="C19" s="2">
        <v>45473</v>
      </c>
      <c r="D19" s="2" t="s">
        <v>145</v>
      </c>
      <c r="E19" s="5" t="s">
        <v>35</v>
      </c>
      <c r="F19" t="s">
        <v>87</v>
      </c>
      <c r="G19" t="s">
        <v>26</v>
      </c>
      <c r="H19" t="s">
        <v>15</v>
      </c>
      <c r="I19" t="s">
        <v>113</v>
      </c>
      <c r="J19" s="4">
        <v>100</v>
      </c>
      <c r="K19" s="8">
        <f>IFERROR(VLOOKUP(E19, ทีมช่าง!$A$2:$C$33, 3, 0), 0)</f>
        <v>80</v>
      </c>
      <c r="L19" s="8">
        <f t="shared" si="0"/>
        <v>8000</v>
      </c>
      <c r="M19" s="8">
        <v>0</v>
      </c>
      <c r="N19" s="8">
        <v>0</v>
      </c>
      <c r="O19" s="8">
        <v>0</v>
      </c>
      <c r="P19" s="8">
        <v>0</v>
      </c>
      <c r="Q19" s="8">
        <f t="shared" si="2"/>
        <v>8000</v>
      </c>
      <c r="R19" s="8">
        <v>8000</v>
      </c>
      <c r="S19" s="8">
        <f t="shared" si="1"/>
        <v>8000</v>
      </c>
    </row>
    <row r="20" spans="1:19" x14ac:dyDescent="0.2">
      <c r="A20">
        <v>2024</v>
      </c>
      <c r="B20" s="2">
        <v>45478</v>
      </c>
      <c r="C20" s="2">
        <v>45483</v>
      </c>
      <c r="D20" s="2" t="s">
        <v>145</v>
      </c>
      <c r="E20" s="5" t="s">
        <v>35</v>
      </c>
      <c r="F20" t="s">
        <v>85</v>
      </c>
      <c r="G20" t="s">
        <v>28</v>
      </c>
      <c r="H20" t="s">
        <v>15</v>
      </c>
      <c r="I20" t="s">
        <v>107</v>
      </c>
      <c r="J20" s="4">
        <v>118</v>
      </c>
      <c r="K20" s="8">
        <f>IFERROR(VLOOKUP(E20, ทีมช่าง!$A$2:$C$33, 3, 0), 0)</f>
        <v>80</v>
      </c>
      <c r="L20" s="8">
        <f t="shared" si="0"/>
        <v>9440</v>
      </c>
      <c r="M20" s="8">
        <v>0</v>
      </c>
      <c r="N20" s="8">
        <v>0</v>
      </c>
      <c r="O20" s="8">
        <v>0</v>
      </c>
      <c r="P20" s="8">
        <v>0</v>
      </c>
      <c r="Q20" s="8">
        <f t="shared" si="2"/>
        <v>9440</v>
      </c>
      <c r="R20" s="8">
        <v>9440</v>
      </c>
      <c r="S20" s="8">
        <f t="shared" si="1"/>
        <v>9440</v>
      </c>
    </row>
    <row r="21" spans="1:19" x14ac:dyDescent="0.2">
      <c r="A21">
        <v>2024</v>
      </c>
      <c r="B21" s="2">
        <v>45488</v>
      </c>
      <c r="C21" s="2">
        <v>45493</v>
      </c>
      <c r="D21" s="2" t="s">
        <v>145</v>
      </c>
      <c r="E21" s="5" t="s">
        <v>38</v>
      </c>
      <c r="F21" t="s">
        <v>88</v>
      </c>
      <c r="G21" t="s">
        <v>28</v>
      </c>
      <c r="H21" t="s">
        <v>31</v>
      </c>
      <c r="I21" s="5" t="s">
        <v>18</v>
      </c>
      <c r="J21" s="4">
        <v>4500</v>
      </c>
      <c r="K21" s="8">
        <f>IFERROR(VLOOKUP(E21, ทีมช่าง!$A$2:$C$33, 3, 0), 0)</f>
        <v>70</v>
      </c>
      <c r="L21" s="8">
        <f t="shared" si="0"/>
        <v>315000</v>
      </c>
      <c r="M21" s="8">
        <v>0</v>
      </c>
      <c r="N21" s="8">
        <v>0</v>
      </c>
      <c r="O21" s="8">
        <v>0</v>
      </c>
      <c r="P21" s="8">
        <v>0</v>
      </c>
      <c r="Q21" s="8">
        <f t="shared" si="2"/>
        <v>315000</v>
      </c>
      <c r="R21" s="8">
        <v>315000</v>
      </c>
      <c r="S21" s="8">
        <f t="shared" si="1"/>
        <v>315000</v>
      </c>
    </row>
    <row r="22" spans="1:19" x14ac:dyDescent="0.2">
      <c r="A22">
        <v>2024</v>
      </c>
      <c r="B22" s="2">
        <v>45498</v>
      </c>
      <c r="C22" s="2">
        <v>45503</v>
      </c>
      <c r="D22" s="2" t="s">
        <v>145</v>
      </c>
      <c r="E22" s="5" t="s">
        <v>35</v>
      </c>
      <c r="F22" t="s">
        <v>89</v>
      </c>
      <c r="G22" t="s">
        <v>26</v>
      </c>
      <c r="H22" t="s">
        <v>15</v>
      </c>
      <c r="I22" t="s">
        <v>107</v>
      </c>
      <c r="J22" s="4">
        <v>140</v>
      </c>
      <c r="K22" s="8">
        <f>IFERROR(VLOOKUP(E22, ทีมช่าง!$A$2:$C$33, 3, 0), 0)</f>
        <v>80</v>
      </c>
      <c r="L22" s="8">
        <f t="shared" si="0"/>
        <v>11200</v>
      </c>
      <c r="M22" s="8">
        <v>0</v>
      </c>
      <c r="N22" s="8">
        <v>0</v>
      </c>
      <c r="O22" s="8">
        <v>0</v>
      </c>
      <c r="P22" s="8">
        <v>0</v>
      </c>
      <c r="Q22" s="8">
        <f t="shared" si="2"/>
        <v>11200</v>
      </c>
      <c r="R22" s="8">
        <v>11200</v>
      </c>
      <c r="S22" s="8">
        <f t="shared" si="1"/>
        <v>11200</v>
      </c>
    </row>
    <row r="23" spans="1:19" x14ac:dyDescent="0.2">
      <c r="A23">
        <v>2024</v>
      </c>
      <c r="B23" s="2">
        <v>45508</v>
      </c>
      <c r="C23" s="2">
        <v>45513</v>
      </c>
      <c r="D23" s="2" t="s">
        <v>145</v>
      </c>
      <c r="E23" s="5" t="s">
        <v>35</v>
      </c>
      <c r="F23" t="s">
        <v>90</v>
      </c>
      <c r="G23" t="s">
        <v>26</v>
      </c>
      <c r="H23" t="s">
        <v>15</v>
      </c>
      <c r="I23" t="s">
        <v>107</v>
      </c>
      <c r="J23" s="4">
        <v>81</v>
      </c>
      <c r="K23" s="8">
        <f>IFERROR(VLOOKUP(E23, ทีมช่าง!$A$2:$C$33, 3, 0), 0)</f>
        <v>80</v>
      </c>
      <c r="L23" s="8">
        <f t="shared" si="0"/>
        <v>6480</v>
      </c>
      <c r="M23" s="8">
        <v>0</v>
      </c>
      <c r="N23" s="8">
        <v>0</v>
      </c>
      <c r="O23" s="8">
        <v>0</v>
      </c>
      <c r="P23" s="8">
        <v>0</v>
      </c>
      <c r="Q23" s="8">
        <f t="shared" si="2"/>
        <v>6480</v>
      </c>
      <c r="R23" s="8">
        <v>6480</v>
      </c>
      <c r="S23" s="8">
        <f t="shared" si="1"/>
        <v>6480</v>
      </c>
    </row>
    <row r="24" spans="1:19" x14ac:dyDescent="0.2">
      <c r="A24">
        <v>2024</v>
      </c>
      <c r="B24" s="2">
        <v>45518</v>
      </c>
      <c r="C24" s="2">
        <v>45523</v>
      </c>
      <c r="D24" s="2" t="s">
        <v>145</v>
      </c>
      <c r="E24" s="5" t="s">
        <v>35</v>
      </c>
      <c r="F24" t="s">
        <v>91</v>
      </c>
      <c r="G24" t="s">
        <v>26</v>
      </c>
      <c r="H24" t="s">
        <v>15</v>
      </c>
      <c r="I24" t="s">
        <v>113</v>
      </c>
      <c r="J24" s="4">
        <v>89</v>
      </c>
      <c r="K24" s="8">
        <f>IFERROR(VLOOKUP(E24, ทีมช่าง!$A$2:$C$33, 3, 0), 0)</f>
        <v>80</v>
      </c>
      <c r="L24" s="8">
        <f t="shared" si="0"/>
        <v>7120</v>
      </c>
      <c r="M24" s="8">
        <v>0</v>
      </c>
      <c r="N24" s="8">
        <v>0</v>
      </c>
      <c r="O24" s="8">
        <v>0</v>
      </c>
      <c r="P24" s="8">
        <v>0</v>
      </c>
      <c r="Q24" s="8">
        <f t="shared" si="2"/>
        <v>7120</v>
      </c>
      <c r="R24" s="8">
        <v>7120</v>
      </c>
      <c r="S24" s="8">
        <f t="shared" si="1"/>
        <v>7120</v>
      </c>
    </row>
    <row r="25" spans="1:19" x14ac:dyDescent="0.2">
      <c r="A25">
        <v>2024</v>
      </c>
      <c r="B25" s="2">
        <v>45528</v>
      </c>
      <c r="C25" s="2">
        <v>45533</v>
      </c>
      <c r="D25" s="2" t="s">
        <v>145</v>
      </c>
      <c r="E25" s="5" t="s">
        <v>35</v>
      </c>
      <c r="F25" t="s">
        <v>92</v>
      </c>
      <c r="G25" t="s">
        <v>26</v>
      </c>
      <c r="H25" t="s">
        <v>15</v>
      </c>
      <c r="I25" t="s">
        <v>113</v>
      </c>
      <c r="J25" s="4">
        <v>167</v>
      </c>
      <c r="K25" s="8">
        <f>IFERROR(VLOOKUP(E25, ทีมช่าง!$A$2:$C$33, 3, 0), 0)</f>
        <v>80</v>
      </c>
      <c r="L25" s="8">
        <f t="shared" si="0"/>
        <v>13360</v>
      </c>
      <c r="M25" s="8">
        <v>5000</v>
      </c>
      <c r="N25" s="8">
        <v>5000</v>
      </c>
      <c r="O25" s="8">
        <v>5000</v>
      </c>
      <c r="P25" s="8">
        <v>11500</v>
      </c>
      <c r="Q25" s="8">
        <f t="shared" si="2"/>
        <v>16860</v>
      </c>
      <c r="R25" s="8">
        <v>16860</v>
      </c>
      <c r="S25" s="8">
        <f t="shared" si="1"/>
        <v>16860</v>
      </c>
    </row>
    <row r="26" spans="1:19" x14ac:dyDescent="0.2">
      <c r="A26">
        <v>2024</v>
      </c>
      <c r="B26" s="2">
        <v>45538</v>
      </c>
      <c r="C26" s="2">
        <v>45543</v>
      </c>
      <c r="D26" s="2" t="s">
        <v>145</v>
      </c>
      <c r="E26" s="5" t="s">
        <v>151</v>
      </c>
      <c r="F26" t="s">
        <v>106</v>
      </c>
      <c r="G26" t="s">
        <v>10</v>
      </c>
      <c r="H26" t="s">
        <v>10</v>
      </c>
      <c r="I26" s="5" t="s">
        <v>18</v>
      </c>
      <c r="J26" s="4">
        <v>15000</v>
      </c>
      <c r="K26" s="8">
        <f>IFERROR(VLOOKUP(E26, ทีมช่าง!$A$2:$C$33, 3, 0), 0)</f>
        <v>1</v>
      </c>
      <c r="L26" s="8">
        <f t="shared" si="0"/>
        <v>15000</v>
      </c>
      <c r="M26" s="8">
        <v>0</v>
      </c>
      <c r="N26" s="8">
        <v>0</v>
      </c>
      <c r="O26" s="8">
        <v>0</v>
      </c>
      <c r="P26" s="8">
        <v>0</v>
      </c>
      <c r="Q26" s="8">
        <f t="shared" si="2"/>
        <v>15000</v>
      </c>
      <c r="R26" s="8">
        <v>15000</v>
      </c>
      <c r="S26" s="8">
        <f t="shared" si="1"/>
        <v>15000</v>
      </c>
    </row>
    <row r="27" spans="1:19" x14ac:dyDescent="0.2">
      <c r="A27">
        <v>2024</v>
      </c>
      <c r="B27" s="2">
        <v>45548</v>
      </c>
      <c r="C27" s="2">
        <v>45553</v>
      </c>
      <c r="D27" s="2" t="s">
        <v>145</v>
      </c>
      <c r="E27" s="5" t="s">
        <v>151</v>
      </c>
      <c r="F27" t="s">
        <v>93</v>
      </c>
      <c r="G27" t="s">
        <v>28</v>
      </c>
      <c r="H27" t="s">
        <v>15</v>
      </c>
      <c r="I27" t="s">
        <v>116</v>
      </c>
      <c r="J27" s="4">
        <v>30000</v>
      </c>
      <c r="K27" s="8">
        <f>IFERROR(VLOOKUP(E27, ทีมช่าง!$A$2:$C$33, 3, 0), 0)</f>
        <v>1</v>
      </c>
      <c r="L27" s="8">
        <f t="shared" si="0"/>
        <v>30000</v>
      </c>
      <c r="M27" s="8">
        <v>0</v>
      </c>
      <c r="N27" s="8">
        <v>0</v>
      </c>
      <c r="O27" s="8">
        <v>0</v>
      </c>
      <c r="P27" s="8">
        <v>0</v>
      </c>
      <c r="Q27" s="8">
        <f t="shared" si="2"/>
        <v>30000</v>
      </c>
      <c r="R27" s="8">
        <v>30000</v>
      </c>
      <c r="S27" s="8">
        <f t="shared" si="1"/>
        <v>30000</v>
      </c>
    </row>
    <row r="28" spans="1:19" x14ac:dyDescent="0.2">
      <c r="A28">
        <v>2024</v>
      </c>
      <c r="B28" s="2">
        <v>45558</v>
      </c>
      <c r="C28" s="2">
        <v>45563</v>
      </c>
      <c r="D28" s="2" t="s">
        <v>145</v>
      </c>
      <c r="E28" s="5" t="s">
        <v>39</v>
      </c>
      <c r="F28" t="s">
        <v>94</v>
      </c>
      <c r="G28" t="s">
        <v>26</v>
      </c>
      <c r="H28" t="s">
        <v>15</v>
      </c>
      <c r="I28" t="s">
        <v>107</v>
      </c>
      <c r="J28" s="4">
        <v>116.5</v>
      </c>
      <c r="K28" s="8">
        <f>IFERROR(VLOOKUP(E28, ทีมช่าง!$A$2:$C$33, 3, 0), 0)</f>
        <v>70</v>
      </c>
      <c r="L28" s="8">
        <f t="shared" si="0"/>
        <v>8155</v>
      </c>
      <c r="M28" s="8">
        <v>0</v>
      </c>
      <c r="N28" s="8">
        <v>0</v>
      </c>
      <c r="O28" s="8">
        <v>0</v>
      </c>
      <c r="P28" s="8">
        <v>0</v>
      </c>
      <c r="Q28" s="8">
        <f t="shared" si="2"/>
        <v>8155</v>
      </c>
      <c r="R28" s="8">
        <v>8155</v>
      </c>
      <c r="S28" s="8">
        <f t="shared" si="1"/>
        <v>8155</v>
      </c>
    </row>
    <row r="29" spans="1:19" x14ac:dyDescent="0.2">
      <c r="A29">
        <v>2024</v>
      </c>
      <c r="B29" s="2">
        <v>45568</v>
      </c>
      <c r="C29" s="2">
        <v>45573</v>
      </c>
      <c r="D29" s="2" t="s">
        <v>145</v>
      </c>
      <c r="E29" s="5" t="s">
        <v>39</v>
      </c>
      <c r="F29" t="s">
        <v>95</v>
      </c>
      <c r="G29" t="s">
        <v>26</v>
      </c>
      <c r="H29" t="s">
        <v>15</v>
      </c>
      <c r="I29" t="s">
        <v>111</v>
      </c>
      <c r="J29" s="4">
        <v>3000</v>
      </c>
      <c r="K29" s="8">
        <f>IFERROR(VLOOKUP(E29, ทีมช่าง!$A$2:$C$33, 3, 0), 0)</f>
        <v>70</v>
      </c>
      <c r="L29" s="8">
        <f t="shared" si="0"/>
        <v>210000</v>
      </c>
      <c r="M29" s="8">
        <v>0</v>
      </c>
      <c r="N29" s="8">
        <v>0</v>
      </c>
      <c r="O29" s="8">
        <v>0</v>
      </c>
      <c r="P29" s="8">
        <v>0</v>
      </c>
      <c r="Q29" s="8">
        <f t="shared" si="2"/>
        <v>210000</v>
      </c>
      <c r="R29" s="8">
        <v>210000</v>
      </c>
      <c r="S29" s="8">
        <f t="shared" si="1"/>
        <v>210000</v>
      </c>
    </row>
    <row r="30" spans="1:19" x14ac:dyDescent="0.2">
      <c r="A30">
        <v>2024</v>
      </c>
      <c r="B30" s="2">
        <v>45578</v>
      </c>
      <c r="C30" s="2">
        <v>45583</v>
      </c>
      <c r="D30" s="2" t="s">
        <v>145</v>
      </c>
      <c r="E30" s="5" t="s">
        <v>39</v>
      </c>
      <c r="F30" t="s">
        <v>96</v>
      </c>
      <c r="G30" t="s">
        <v>26</v>
      </c>
      <c r="H30" t="s">
        <v>15</v>
      </c>
      <c r="I30" t="s">
        <v>107</v>
      </c>
      <c r="J30" s="4">
        <v>138.5</v>
      </c>
      <c r="K30" s="8">
        <f>IFERROR(VLOOKUP(E30, ทีมช่าง!$A$2:$C$33, 3, 0), 0)</f>
        <v>70</v>
      </c>
      <c r="L30" s="8">
        <f t="shared" si="0"/>
        <v>9695</v>
      </c>
      <c r="M30" s="8">
        <v>0</v>
      </c>
      <c r="N30" s="8">
        <v>0</v>
      </c>
      <c r="O30" s="8">
        <v>0</v>
      </c>
      <c r="P30" s="8">
        <v>0</v>
      </c>
      <c r="Q30" s="8">
        <f t="shared" si="2"/>
        <v>9695</v>
      </c>
      <c r="R30" s="8">
        <v>9695</v>
      </c>
      <c r="S30" s="8">
        <f t="shared" si="1"/>
        <v>9695</v>
      </c>
    </row>
    <row r="31" spans="1:19" x14ac:dyDescent="0.2">
      <c r="A31">
        <v>2024</v>
      </c>
      <c r="B31" s="2">
        <v>45588</v>
      </c>
      <c r="C31" s="2">
        <v>45593</v>
      </c>
      <c r="D31" s="2" t="s">
        <v>145</v>
      </c>
      <c r="E31" s="5" t="s">
        <v>39</v>
      </c>
      <c r="F31" t="s">
        <v>97</v>
      </c>
      <c r="G31" t="s">
        <v>27</v>
      </c>
      <c r="H31" t="s">
        <v>15</v>
      </c>
      <c r="I31" t="s">
        <v>107</v>
      </c>
      <c r="J31" s="4">
        <v>134</v>
      </c>
      <c r="K31" s="8">
        <f>IFERROR(VLOOKUP(E31, ทีมช่าง!$A$2:$C$33, 3, 0), 0)</f>
        <v>70</v>
      </c>
      <c r="L31" s="8">
        <f t="shared" si="0"/>
        <v>9380</v>
      </c>
      <c r="M31" s="8">
        <v>0</v>
      </c>
      <c r="N31" s="8">
        <v>0</v>
      </c>
      <c r="O31" s="8">
        <v>0</v>
      </c>
      <c r="P31" s="8">
        <v>0</v>
      </c>
      <c r="Q31" s="8">
        <f t="shared" si="2"/>
        <v>9380</v>
      </c>
      <c r="R31" s="8">
        <v>9380</v>
      </c>
      <c r="S31" s="8">
        <f t="shared" si="1"/>
        <v>9380</v>
      </c>
    </row>
    <row r="32" spans="1:19" x14ac:dyDescent="0.2">
      <c r="A32">
        <v>2024</v>
      </c>
      <c r="B32" s="2">
        <v>45598</v>
      </c>
      <c r="C32" s="2">
        <v>45603</v>
      </c>
      <c r="D32" s="2" t="s">
        <v>145</v>
      </c>
      <c r="E32" s="5" t="s">
        <v>36</v>
      </c>
      <c r="F32" t="s">
        <v>98</v>
      </c>
      <c r="G32" t="s">
        <v>26</v>
      </c>
      <c r="H32" t="s">
        <v>15</v>
      </c>
      <c r="I32" t="s">
        <v>107</v>
      </c>
      <c r="J32" s="4">
        <v>147</v>
      </c>
      <c r="K32" s="8">
        <f>IFERROR(VLOOKUP(E32, ทีมช่าง!$A$2:$C$33, 3, 0), 0)</f>
        <v>80</v>
      </c>
      <c r="L32" s="8">
        <f t="shared" si="0"/>
        <v>11760</v>
      </c>
      <c r="M32" s="8">
        <v>0</v>
      </c>
      <c r="N32" s="8">
        <v>0</v>
      </c>
      <c r="O32" s="8">
        <v>0</v>
      </c>
      <c r="P32" s="8">
        <v>0</v>
      </c>
      <c r="Q32" s="8">
        <f t="shared" si="2"/>
        <v>11760</v>
      </c>
      <c r="R32" s="8">
        <v>11760</v>
      </c>
      <c r="S32" s="8">
        <f t="shared" si="1"/>
        <v>11760</v>
      </c>
    </row>
    <row r="33" spans="1:19" x14ac:dyDescent="0.2">
      <c r="A33">
        <v>2024</v>
      </c>
      <c r="B33" s="2">
        <v>45608</v>
      </c>
      <c r="C33" s="2">
        <v>45613</v>
      </c>
      <c r="D33" s="2" t="s">
        <v>145</v>
      </c>
      <c r="E33" s="5" t="s">
        <v>153</v>
      </c>
      <c r="F33" t="s">
        <v>11</v>
      </c>
      <c r="G33" t="s">
        <v>26</v>
      </c>
      <c r="H33" t="s">
        <v>15</v>
      </c>
      <c r="I33" t="s">
        <v>116</v>
      </c>
      <c r="J33" s="4">
        <v>3000</v>
      </c>
      <c r="K33" s="8">
        <f>IFERROR(VLOOKUP(E33, ทีมช่าง!$A$2:$C$33, 3, 0), 0)</f>
        <v>1</v>
      </c>
      <c r="L33" s="8">
        <f t="shared" si="0"/>
        <v>3000</v>
      </c>
      <c r="M33" s="8">
        <v>0</v>
      </c>
      <c r="N33" s="8">
        <v>0</v>
      </c>
      <c r="O33" s="8">
        <v>0</v>
      </c>
      <c r="P33" s="8">
        <v>0</v>
      </c>
      <c r="Q33" s="8">
        <f t="shared" si="2"/>
        <v>3000</v>
      </c>
      <c r="R33" s="8">
        <v>3000</v>
      </c>
      <c r="S33" s="8">
        <f t="shared" si="1"/>
        <v>3000</v>
      </c>
    </row>
    <row r="34" spans="1:19" x14ac:dyDescent="0.2">
      <c r="A34">
        <v>2024</v>
      </c>
      <c r="B34" s="2">
        <v>45618</v>
      </c>
      <c r="C34" s="2">
        <v>45623</v>
      </c>
      <c r="D34" s="2" t="s">
        <v>145</v>
      </c>
      <c r="E34" s="5" t="s">
        <v>36</v>
      </c>
      <c r="F34" t="s">
        <v>99</v>
      </c>
      <c r="G34" t="s">
        <v>28</v>
      </c>
      <c r="H34" t="s">
        <v>15</v>
      </c>
      <c r="I34" t="s">
        <v>116</v>
      </c>
      <c r="J34" s="4">
        <v>298</v>
      </c>
      <c r="K34" s="8">
        <f>IFERROR(VLOOKUP(E34, ทีมช่าง!$A$2:$C$33, 3, 0), 0)</f>
        <v>80</v>
      </c>
      <c r="L34" s="8">
        <f t="shared" ref="L34:L65" si="3">J34*K34</f>
        <v>23840</v>
      </c>
      <c r="M34" s="8">
        <v>5000</v>
      </c>
      <c r="N34" s="8">
        <v>5000</v>
      </c>
      <c r="O34" s="8">
        <v>5000</v>
      </c>
      <c r="P34" s="8">
        <v>11500</v>
      </c>
      <c r="Q34" s="8">
        <f t="shared" si="2"/>
        <v>27340</v>
      </c>
      <c r="R34" s="8">
        <v>27340</v>
      </c>
      <c r="S34" s="8">
        <f t="shared" ref="S34:S65" si="4">(K34*J34)+(M34+N34+O34)-P34</f>
        <v>27340</v>
      </c>
    </row>
    <row r="35" spans="1:19" x14ac:dyDescent="0.2">
      <c r="A35">
        <v>2024</v>
      </c>
      <c r="B35" s="2">
        <v>45628</v>
      </c>
      <c r="C35" s="2">
        <v>45633</v>
      </c>
      <c r="D35" s="2" t="s">
        <v>145</v>
      </c>
      <c r="E35" s="5" t="s">
        <v>153</v>
      </c>
      <c r="F35" t="s">
        <v>100</v>
      </c>
      <c r="G35" t="s">
        <v>26</v>
      </c>
      <c r="H35" t="s">
        <v>15</v>
      </c>
      <c r="I35" t="s">
        <v>117</v>
      </c>
      <c r="J35" s="4">
        <v>2000</v>
      </c>
      <c r="K35" s="8">
        <f>IFERROR(VLOOKUP(E35, ทีมช่าง!$A$2:$C$33, 3, 0), 0)</f>
        <v>1</v>
      </c>
      <c r="L35" s="8">
        <f t="shared" si="3"/>
        <v>2000</v>
      </c>
      <c r="M35" s="8">
        <v>0</v>
      </c>
      <c r="N35" s="8">
        <v>0</v>
      </c>
      <c r="O35" s="8">
        <v>0</v>
      </c>
      <c r="P35" s="8">
        <v>0</v>
      </c>
      <c r="Q35" s="8">
        <f t="shared" si="2"/>
        <v>2000</v>
      </c>
      <c r="R35" s="8">
        <v>2000</v>
      </c>
      <c r="S35" s="8">
        <f t="shared" si="4"/>
        <v>2000</v>
      </c>
    </row>
    <row r="36" spans="1:19" x14ac:dyDescent="0.2">
      <c r="A36">
        <v>2024</v>
      </c>
      <c r="B36" s="2">
        <v>45638</v>
      </c>
      <c r="C36" s="2">
        <v>45643</v>
      </c>
      <c r="D36" s="2" t="s">
        <v>145</v>
      </c>
      <c r="E36" s="5" t="s">
        <v>36</v>
      </c>
      <c r="F36" t="s">
        <v>101</v>
      </c>
      <c r="G36" t="s">
        <v>28</v>
      </c>
      <c r="H36" t="s">
        <v>15</v>
      </c>
      <c r="I36" t="s">
        <v>116</v>
      </c>
      <c r="J36" s="4">
        <v>111</v>
      </c>
      <c r="K36" s="8">
        <f>IFERROR(VLOOKUP(E36, ทีมช่าง!$A$2:$C$33, 3, 0), 0)</f>
        <v>80</v>
      </c>
      <c r="L36" s="8">
        <f t="shared" si="3"/>
        <v>8880</v>
      </c>
      <c r="M36" s="8">
        <v>0</v>
      </c>
      <c r="N36" s="8">
        <v>0</v>
      </c>
      <c r="O36" s="8">
        <v>0</v>
      </c>
      <c r="P36" s="8">
        <v>0</v>
      </c>
      <c r="Q36" s="8">
        <f t="shared" si="2"/>
        <v>8880</v>
      </c>
      <c r="R36" s="8">
        <v>8880</v>
      </c>
      <c r="S36" s="8">
        <f t="shared" si="4"/>
        <v>8880</v>
      </c>
    </row>
    <row r="37" spans="1:19" x14ac:dyDescent="0.2">
      <c r="A37">
        <v>2024</v>
      </c>
      <c r="B37" s="2">
        <v>45648</v>
      </c>
      <c r="C37" s="2">
        <v>45653</v>
      </c>
      <c r="D37" s="2" t="s">
        <v>145</v>
      </c>
      <c r="E37" s="5" t="s">
        <v>153</v>
      </c>
      <c r="F37" t="s">
        <v>102</v>
      </c>
      <c r="G37" t="s">
        <v>26</v>
      </c>
      <c r="H37" t="s">
        <v>15</v>
      </c>
      <c r="I37" t="s">
        <v>117</v>
      </c>
      <c r="J37" s="4">
        <v>1500</v>
      </c>
      <c r="K37" s="8">
        <f>IFERROR(VLOOKUP(E37, ทีมช่าง!$A$2:$C$33, 3, 0), 0)</f>
        <v>1</v>
      </c>
      <c r="L37" s="8">
        <f t="shared" si="3"/>
        <v>1500</v>
      </c>
      <c r="M37" s="8">
        <v>0</v>
      </c>
      <c r="N37" s="8">
        <v>0</v>
      </c>
      <c r="O37" s="8">
        <v>0</v>
      </c>
      <c r="P37" s="8">
        <v>0</v>
      </c>
      <c r="Q37" s="8">
        <f t="shared" si="2"/>
        <v>1500</v>
      </c>
      <c r="R37" s="8">
        <v>1500</v>
      </c>
      <c r="S37" s="8">
        <f t="shared" si="4"/>
        <v>1500</v>
      </c>
    </row>
    <row r="38" spans="1:19" x14ac:dyDescent="0.2">
      <c r="A38">
        <v>2024</v>
      </c>
      <c r="B38" s="2">
        <v>45648</v>
      </c>
      <c r="C38" s="2">
        <v>45653</v>
      </c>
      <c r="D38" s="2" t="s">
        <v>145</v>
      </c>
      <c r="E38" s="5" t="s">
        <v>35</v>
      </c>
      <c r="F38" t="s">
        <v>103</v>
      </c>
      <c r="G38" t="s">
        <v>26</v>
      </c>
      <c r="H38" t="s">
        <v>15</v>
      </c>
      <c r="I38" t="s">
        <v>117</v>
      </c>
      <c r="J38" s="4">
        <v>185</v>
      </c>
      <c r="K38" s="8">
        <f>IFERROR(VLOOKUP(E38, ทีมช่าง!$A$2:$C$33, 3, 0), 0)</f>
        <v>80</v>
      </c>
      <c r="L38" s="8">
        <f t="shared" si="3"/>
        <v>14800</v>
      </c>
      <c r="M38" s="8">
        <v>5000</v>
      </c>
      <c r="N38" s="8">
        <v>5000</v>
      </c>
      <c r="O38" s="8">
        <v>5000</v>
      </c>
      <c r="P38" s="8">
        <v>11500</v>
      </c>
      <c r="Q38" s="8">
        <f t="shared" si="2"/>
        <v>18300</v>
      </c>
      <c r="R38" s="8">
        <v>18300</v>
      </c>
      <c r="S38" s="8">
        <f t="shared" si="4"/>
        <v>18300</v>
      </c>
    </row>
    <row r="39" spans="1:19" x14ac:dyDescent="0.2">
      <c r="A39">
        <v>2024</v>
      </c>
      <c r="B39" s="2">
        <v>45648</v>
      </c>
      <c r="C39" s="2">
        <v>45653</v>
      </c>
      <c r="D39" s="2" t="s">
        <v>145</v>
      </c>
      <c r="E39" s="5" t="s">
        <v>35</v>
      </c>
      <c r="F39" t="s">
        <v>104</v>
      </c>
      <c r="G39" t="s">
        <v>26</v>
      </c>
      <c r="H39" t="s">
        <v>15</v>
      </c>
      <c r="I39" t="s">
        <v>117</v>
      </c>
      <c r="J39" s="4">
        <v>122</v>
      </c>
      <c r="K39" s="8">
        <f>IFERROR(VLOOKUP(E39, ทีมช่าง!$A$2:$C$33, 3, 0), 0)</f>
        <v>80</v>
      </c>
      <c r="L39" s="8">
        <f t="shared" si="3"/>
        <v>9760</v>
      </c>
      <c r="M39" s="8">
        <v>0</v>
      </c>
      <c r="N39" s="8">
        <v>0</v>
      </c>
      <c r="O39" s="8">
        <v>0</v>
      </c>
      <c r="P39" s="8">
        <v>0</v>
      </c>
      <c r="Q39" s="8">
        <f t="shared" si="2"/>
        <v>9760</v>
      </c>
      <c r="R39" s="8">
        <v>9760</v>
      </c>
      <c r="S39" s="8">
        <f t="shared" si="4"/>
        <v>9760</v>
      </c>
    </row>
    <row r="40" spans="1:19" x14ac:dyDescent="0.2">
      <c r="A40">
        <v>2024</v>
      </c>
      <c r="B40" s="2">
        <v>45648</v>
      </c>
      <c r="C40" s="2">
        <v>45653</v>
      </c>
      <c r="D40" s="2" t="s">
        <v>145</v>
      </c>
      <c r="E40" s="5" t="s">
        <v>39</v>
      </c>
      <c r="F40" t="s">
        <v>105</v>
      </c>
      <c r="G40" t="s">
        <v>26</v>
      </c>
      <c r="H40" t="s">
        <v>15</v>
      </c>
      <c r="I40" t="s">
        <v>107</v>
      </c>
      <c r="J40" s="4">
        <v>95</v>
      </c>
      <c r="K40" s="8">
        <f>IFERROR(VLOOKUP(E40, ทีมช่าง!$A$2:$C$33, 3, 0), 0)</f>
        <v>70</v>
      </c>
      <c r="L40" s="8">
        <f t="shared" si="3"/>
        <v>6650</v>
      </c>
      <c r="M40" s="8">
        <v>0</v>
      </c>
      <c r="N40" s="8">
        <v>0</v>
      </c>
      <c r="O40" s="8">
        <v>0</v>
      </c>
      <c r="P40" s="8">
        <v>0</v>
      </c>
      <c r="Q40" s="8">
        <f t="shared" si="2"/>
        <v>6650</v>
      </c>
      <c r="R40" s="8">
        <v>6650</v>
      </c>
      <c r="S40" s="8">
        <f t="shared" si="4"/>
        <v>6650</v>
      </c>
    </row>
    <row r="41" spans="1:19" x14ac:dyDescent="0.2">
      <c r="A41">
        <v>2025</v>
      </c>
      <c r="B41" s="2">
        <v>45664</v>
      </c>
      <c r="C41" s="2">
        <v>45669</v>
      </c>
      <c r="D41" s="2" t="s">
        <v>145</v>
      </c>
      <c r="E41" s="5" t="s">
        <v>38</v>
      </c>
      <c r="F41" t="s">
        <v>40</v>
      </c>
      <c r="G41" t="s">
        <v>26</v>
      </c>
      <c r="H41" t="s">
        <v>15</v>
      </c>
      <c r="I41" t="s">
        <v>107</v>
      </c>
      <c r="J41" s="4">
        <v>105.5</v>
      </c>
      <c r="K41" s="8">
        <f>IFERROR(VLOOKUP(E41, ทีมช่าง!$A$2:$C$33, 3, 0), 0)</f>
        <v>70</v>
      </c>
      <c r="L41" s="8">
        <f t="shared" si="3"/>
        <v>7385</v>
      </c>
      <c r="M41" s="8">
        <v>0</v>
      </c>
      <c r="N41" s="8">
        <v>0</v>
      </c>
      <c r="O41" s="8">
        <v>0</v>
      </c>
      <c r="P41" s="8">
        <v>0</v>
      </c>
      <c r="Q41" s="8">
        <f t="shared" si="2"/>
        <v>7385</v>
      </c>
      <c r="R41" s="8">
        <v>7385</v>
      </c>
      <c r="S41" s="8">
        <f t="shared" si="4"/>
        <v>7385</v>
      </c>
    </row>
    <row r="42" spans="1:19" x14ac:dyDescent="0.2">
      <c r="A42">
        <v>2025</v>
      </c>
      <c r="B42" s="2">
        <v>45674</v>
      </c>
      <c r="C42" s="2">
        <v>45679</v>
      </c>
      <c r="D42" s="2" t="s">
        <v>145</v>
      </c>
      <c r="E42" s="5" t="s">
        <v>35</v>
      </c>
      <c r="F42" t="s">
        <v>41</v>
      </c>
      <c r="G42" t="s">
        <v>26</v>
      </c>
      <c r="H42" t="s">
        <v>15</v>
      </c>
      <c r="I42" t="s">
        <v>107</v>
      </c>
      <c r="J42" s="4">
        <v>105</v>
      </c>
      <c r="K42" s="8">
        <f>IFERROR(VLOOKUP(E42, ทีมช่าง!$A$2:$C$33, 3, 0), 0)</f>
        <v>80</v>
      </c>
      <c r="L42" s="8">
        <f t="shared" si="3"/>
        <v>8400</v>
      </c>
      <c r="M42" s="8">
        <v>0</v>
      </c>
      <c r="N42" s="8">
        <v>0</v>
      </c>
      <c r="O42" s="8">
        <v>0</v>
      </c>
      <c r="P42" s="8">
        <v>0</v>
      </c>
      <c r="Q42" s="8">
        <f t="shared" si="2"/>
        <v>8400</v>
      </c>
      <c r="R42" s="8">
        <v>8400</v>
      </c>
      <c r="S42" s="8">
        <f t="shared" si="4"/>
        <v>8400</v>
      </c>
    </row>
    <row r="43" spans="1:19" x14ac:dyDescent="0.2">
      <c r="A43">
        <v>2025</v>
      </c>
      <c r="B43" s="2">
        <v>45665</v>
      </c>
      <c r="C43" s="2">
        <v>45670</v>
      </c>
      <c r="D43" s="2" t="s">
        <v>145</v>
      </c>
      <c r="E43" s="5" t="s">
        <v>35</v>
      </c>
      <c r="F43" t="s">
        <v>42</v>
      </c>
      <c r="G43" t="s">
        <v>28</v>
      </c>
      <c r="H43" t="s">
        <v>15</v>
      </c>
      <c r="I43" t="s">
        <v>108</v>
      </c>
      <c r="J43" s="4">
        <v>176</v>
      </c>
      <c r="K43" s="8">
        <f>IFERROR(VLOOKUP(E43, ทีมช่าง!$A$2:$C$33, 3, 0), 0)</f>
        <v>80</v>
      </c>
      <c r="L43" s="8">
        <f t="shared" si="3"/>
        <v>14080</v>
      </c>
      <c r="M43" s="8">
        <v>5000</v>
      </c>
      <c r="N43" s="8">
        <v>5000</v>
      </c>
      <c r="O43" s="8">
        <v>5000</v>
      </c>
      <c r="P43" s="8">
        <v>11500</v>
      </c>
      <c r="Q43" s="8">
        <f t="shared" si="2"/>
        <v>17580</v>
      </c>
      <c r="R43" s="8">
        <v>17580</v>
      </c>
      <c r="S43" s="8">
        <f t="shared" si="4"/>
        <v>17580</v>
      </c>
    </row>
    <row r="44" spans="1:19" x14ac:dyDescent="0.2">
      <c r="A44">
        <v>2025</v>
      </c>
      <c r="B44" s="2">
        <v>45675</v>
      </c>
      <c r="C44" s="2">
        <v>45680</v>
      </c>
      <c r="D44" s="2" t="s">
        <v>145</v>
      </c>
      <c r="E44" s="5" t="s">
        <v>39</v>
      </c>
      <c r="F44" t="s">
        <v>43</v>
      </c>
      <c r="G44" t="s">
        <v>26</v>
      </c>
      <c r="H44" t="s">
        <v>15</v>
      </c>
      <c r="I44" t="s">
        <v>109</v>
      </c>
      <c r="J44" s="4">
        <v>70</v>
      </c>
      <c r="K44" s="8">
        <f>IFERROR(VLOOKUP(E44, ทีมช่าง!$A$2:$C$33, 3, 0), 0)</f>
        <v>70</v>
      </c>
      <c r="L44" s="8">
        <f t="shared" si="3"/>
        <v>4900</v>
      </c>
      <c r="M44" s="8">
        <v>0</v>
      </c>
      <c r="N44" s="8">
        <v>0</v>
      </c>
      <c r="O44" s="8">
        <v>0</v>
      </c>
      <c r="P44" s="8">
        <v>0</v>
      </c>
      <c r="Q44" s="8">
        <f t="shared" si="2"/>
        <v>4900</v>
      </c>
      <c r="R44" s="8">
        <v>4900</v>
      </c>
      <c r="S44" s="8">
        <f t="shared" si="4"/>
        <v>4900</v>
      </c>
    </row>
    <row r="45" spans="1:19" x14ac:dyDescent="0.2">
      <c r="A45">
        <v>2025</v>
      </c>
      <c r="B45" s="2">
        <v>45666</v>
      </c>
      <c r="C45" s="2">
        <v>45671</v>
      </c>
      <c r="D45" s="2" t="s">
        <v>145</v>
      </c>
      <c r="E45" s="5" t="s">
        <v>39</v>
      </c>
      <c r="F45" t="s">
        <v>44</v>
      </c>
      <c r="G45" t="s">
        <v>26</v>
      </c>
      <c r="H45" t="s">
        <v>15</v>
      </c>
      <c r="I45" t="s">
        <v>109</v>
      </c>
      <c r="J45" s="4">
        <v>70</v>
      </c>
      <c r="K45" s="8">
        <f>IFERROR(VLOOKUP(E45, ทีมช่าง!$A$2:$C$33, 3, 0), 0)</f>
        <v>70</v>
      </c>
      <c r="L45" s="8">
        <f t="shared" si="3"/>
        <v>4900</v>
      </c>
      <c r="M45" s="8">
        <v>0</v>
      </c>
      <c r="N45" s="8">
        <v>0</v>
      </c>
      <c r="O45" s="8">
        <v>0</v>
      </c>
      <c r="P45" s="8">
        <v>0</v>
      </c>
      <c r="Q45" s="8">
        <f t="shared" si="2"/>
        <v>4900</v>
      </c>
      <c r="R45" s="8">
        <v>4900</v>
      </c>
      <c r="S45" s="8">
        <f t="shared" si="4"/>
        <v>4900</v>
      </c>
    </row>
    <row r="46" spans="1:19" x14ac:dyDescent="0.2">
      <c r="A46">
        <v>2025</v>
      </c>
      <c r="B46" s="2">
        <v>45676</v>
      </c>
      <c r="C46" s="2">
        <v>45681</v>
      </c>
      <c r="D46" s="2" t="s">
        <v>145</v>
      </c>
      <c r="E46" s="5" t="s">
        <v>146</v>
      </c>
      <c r="F46" t="s">
        <v>45</v>
      </c>
      <c r="G46" t="s">
        <v>3</v>
      </c>
      <c r="H46" t="s">
        <v>15</v>
      </c>
      <c r="I46" t="s">
        <v>114</v>
      </c>
      <c r="J46" s="4">
        <v>5000</v>
      </c>
      <c r="K46" s="8">
        <f>IFERROR(VLOOKUP(E46, ทีมช่าง!$A$2:$C$33, 3, 0), 0)</f>
        <v>1</v>
      </c>
      <c r="L46" s="8">
        <f t="shared" si="3"/>
        <v>5000</v>
      </c>
      <c r="M46" s="8">
        <v>0</v>
      </c>
      <c r="N46" s="8">
        <v>0</v>
      </c>
      <c r="O46" s="8">
        <v>0</v>
      </c>
      <c r="P46" s="8">
        <v>0</v>
      </c>
      <c r="Q46" s="8">
        <f t="shared" si="2"/>
        <v>5000</v>
      </c>
      <c r="R46" s="8">
        <v>5000</v>
      </c>
      <c r="S46" s="8">
        <f t="shared" si="4"/>
        <v>5000</v>
      </c>
    </row>
    <row r="47" spans="1:19" x14ac:dyDescent="0.2">
      <c r="A47">
        <v>2025</v>
      </c>
      <c r="B47" s="2">
        <v>45667</v>
      </c>
      <c r="C47" s="2">
        <v>45672</v>
      </c>
      <c r="D47" s="2" t="s">
        <v>145</v>
      </c>
      <c r="E47" s="5" t="s">
        <v>146</v>
      </c>
      <c r="F47" t="s">
        <v>46</v>
      </c>
      <c r="G47" t="s">
        <v>3</v>
      </c>
      <c r="H47" t="s">
        <v>15</v>
      </c>
      <c r="I47" t="s">
        <v>114</v>
      </c>
      <c r="J47" s="4">
        <v>5000</v>
      </c>
      <c r="K47" s="8">
        <f>IFERROR(VLOOKUP(E47, ทีมช่าง!$A$2:$C$33, 3, 0), 0)</f>
        <v>1</v>
      </c>
      <c r="L47" s="8">
        <f t="shared" si="3"/>
        <v>5000</v>
      </c>
      <c r="M47" s="8">
        <v>0</v>
      </c>
      <c r="N47" s="8">
        <v>0</v>
      </c>
      <c r="O47" s="8">
        <v>0</v>
      </c>
      <c r="P47" s="8">
        <v>0</v>
      </c>
      <c r="Q47" s="8">
        <f t="shared" si="2"/>
        <v>5000</v>
      </c>
      <c r="R47" s="8">
        <v>5000</v>
      </c>
      <c r="S47" s="8">
        <f t="shared" si="4"/>
        <v>5000</v>
      </c>
    </row>
    <row r="48" spans="1:19" x14ac:dyDescent="0.2">
      <c r="A48">
        <v>2025</v>
      </c>
      <c r="B48" s="2">
        <v>45677</v>
      </c>
      <c r="C48" s="2">
        <v>45682</v>
      </c>
      <c r="D48" s="2" t="s">
        <v>145</v>
      </c>
      <c r="E48" s="5" t="s">
        <v>153</v>
      </c>
      <c r="F48" t="s">
        <v>125</v>
      </c>
      <c r="G48" t="s">
        <v>26</v>
      </c>
      <c r="H48" t="s">
        <v>15</v>
      </c>
      <c r="I48" t="s">
        <v>107</v>
      </c>
      <c r="J48" s="4">
        <v>5000</v>
      </c>
      <c r="K48" s="8">
        <f>IFERROR(VLOOKUP(E48, ทีมช่าง!$A$2:$C$33, 3, 0), 0)</f>
        <v>1</v>
      </c>
      <c r="L48" s="8">
        <f t="shared" si="3"/>
        <v>5000</v>
      </c>
      <c r="M48" s="8">
        <v>0</v>
      </c>
      <c r="N48" s="8">
        <v>0</v>
      </c>
      <c r="O48" s="8">
        <v>0</v>
      </c>
      <c r="P48" s="8">
        <v>0</v>
      </c>
      <c r="Q48" s="8">
        <f t="shared" si="2"/>
        <v>5000</v>
      </c>
      <c r="R48" s="8">
        <v>5000</v>
      </c>
      <c r="S48" s="8">
        <f t="shared" si="4"/>
        <v>5000</v>
      </c>
    </row>
    <row r="49" spans="1:19" x14ac:dyDescent="0.2">
      <c r="A49">
        <v>2025</v>
      </c>
      <c r="B49" s="2">
        <v>45668</v>
      </c>
      <c r="C49" s="2">
        <v>45673</v>
      </c>
      <c r="D49" s="2" t="s">
        <v>145</v>
      </c>
      <c r="E49" s="5" t="s">
        <v>153</v>
      </c>
      <c r="F49" t="s">
        <v>124</v>
      </c>
      <c r="G49" t="s">
        <v>26</v>
      </c>
      <c r="H49" t="s">
        <v>15</v>
      </c>
      <c r="I49" t="s">
        <v>107</v>
      </c>
      <c r="J49" s="4">
        <v>5000</v>
      </c>
      <c r="K49" s="8">
        <f>IFERROR(VLOOKUP(E49, ทีมช่าง!$A$2:$C$33, 3, 0), 0)</f>
        <v>1</v>
      </c>
      <c r="L49" s="8">
        <f t="shared" si="3"/>
        <v>5000</v>
      </c>
      <c r="M49" s="8">
        <v>0</v>
      </c>
      <c r="N49" s="8">
        <v>0</v>
      </c>
      <c r="O49" s="8">
        <v>0</v>
      </c>
      <c r="P49" s="8">
        <v>0</v>
      </c>
      <c r="Q49" s="8">
        <f t="shared" si="2"/>
        <v>5000</v>
      </c>
      <c r="R49" s="8">
        <v>5000</v>
      </c>
      <c r="S49" s="8">
        <f t="shared" si="4"/>
        <v>5000</v>
      </c>
    </row>
    <row r="50" spans="1:19" x14ac:dyDescent="0.2">
      <c r="A50">
        <v>2025</v>
      </c>
      <c r="B50" s="2">
        <v>45678</v>
      </c>
      <c r="C50" s="2">
        <v>45683</v>
      </c>
      <c r="D50" s="2" t="s">
        <v>145</v>
      </c>
      <c r="E50" s="5" t="s">
        <v>153</v>
      </c>
      <c r="F50" t="s">
        <v>4</v>
      </c>
      <c r="G50" t="s">
        <v>5</v>
      </c>
      <c r="H50" t="s">
        <v>17</v>
      </c>
      <c r="I50" s="5" t="s">
        <v>18</v>
      </c>
      <c r="J50" s="4">
        <v>2500</v>
      </c>
      <c r="K50" s="8">
        <f>IFERROR(VLOOKUP(E50, ทีมช่าง!$A$2:$C$33, 3, 0), 0)</f>
        <v>1</v>
      </c>
      <c r="L50" s="8">
        <f t="shared" si="3"/>
        <v>2500</v>
      </c>
      <c r="M50" s="8">
        <v>0</v>
      </c>
      <c r="N50" s="8">
        <v>0</v>
      </c>
      <c r="O50" s="8">
        <v>0</v>
      </c>
      <c r="P50" s="8">
        <v>0</v>
      </c>
      <c r="Q50" s="8">
        <f t="shared" si="2"/>
        <v>2500</v>
      </c>
      <c r="R50" s="8">
        <v>2500</v>
      </c>
      <c r="S50" s="8">
        <f t="shared" si="4"/>
        <v>2500</v>
      </c>
    </row>
    <row r="51" spans="1:19" x14ac:dyDescent="0.2">
      <c r="A51">
        <v>2025</v>
      </c>
      <c r="B51" s="2">
        <v>45669</v>
      </c>
      <c r="C51" s="2">
        <v>45674</v>
      </c>
      <c r="D51" s="2" t="s">
        <v>145</v>
      </c>
      <c r="E51" s="5" t="s">
        <v>38</v>
      </c>
      <c r="F51" t="s">
        <v>76</v>
      </c>
      <c r="G51" t="s">
        <v>26</v>
      </c>
      <c r="H51" t="s">
        <v>15</v>
      </c>
      <c r="I51" t="s">
        <v>107</v>
      </c>
      <c r="J51" s="4">
        <v>91.5</v>
      </c>
      <c r="K51" s="8">
        <f>IFERROR(VLOOKUP(E51, ทีมช่าง!$A$2:$C$33, 3, 0), 0)</f>
        <v>70</v>
      </c>
      <c r="L51" s="8">
        <f t="shared" si="3"/>
        <v>6405</v>
      </c>
      <c r="M51" s="8">
        <v>0</v>
      </c>
      <c r="N51" s="8">
        <v>0</v>
      </c>
      <c r="O51" s="8">
        <v>0</v>
      </c>
      <c r="P51" s="8">
        <v>0</v>
      </c>
      <c r="Q51" s="8">
        <f t="shared" si="2"/>
        <v>6405</v>
      </c>
      <c r="R51" s="8">
        <v>6405</v>
      </c>
      <c r="S51" s="8">
        <f t="shared" si="4"/>
        <v>6405</v>
      </c>
    </row>
    <row r="52" spans="1:19" x14ac:dyDescent="0.2">
      <c r="A52">
        <v>2025</v>
      </c>
      <c r="B52" s="2">
        <v>45679</v>
      </c>
      <c r="C52" s="2">
        <v>45684</v>
      </c>
      <c r="D52" s="2" t="s">
        <v>145</v>
      </c>
      <c r="E52" s="5" t="s">
        <v>35</v>
      </c>
      <c r="F52" t="s">
        <v>47</v>
      </c>
      <c r="G52" t="s">
        <v>28</v>
      </c>
      <c r="H52" t="s">
        <v>15</v>
      </c>
      <c r="I52" t="s">
        <v>110</v>
      </c>
      <c r="J52" s="4">
        <v>185</v>
      </c>
      <c r="K52" s="8">
        <f>IFERROR(VLOOKUP(E52, ทีมช่าง!$A$2:$C$33, 3, 0), 0)</f>
        <v>80</v>
      </c>
      <c r="L52" s="8">
        <f t="shared" si="3"/>
        <v>14800</v>
      </c>
      <c r="M52" s="8">
        <v>5000</v>
      </c>
      <c r="N52" s="8">
        <v>5000</v>
      </c>
      <c r="O52" s="8">
        <v>5000</v>
      </c>
      <c r="P52" s="8">
        <v>11500</v>
      </c>
      <c r="Q52" s="8">
        <f t="shared" si="2"/>
        <v>18300</v>
      </c>
      <c r="R52" s="8">
        <v>18300</v>
      </c>
      <c r="S52" s="8">
        <f t="shared" si="4"/>
        <v>18300</v>
      </c>
    </row>
    <row r="53" spans="1:19" x14ac:dyDescent="0.2">
      <c r="A53">
        <v>2025</v>
      </c>
      <c r="B53" s="2">
        <v>45670</v>
      </c>
      <c r="C53" s="2">
        <v>45675</v>
      </c>
      <c r="D53" s="2" t="s">
        <v>145</v>
      </c>
      <c r="E53" s="5" t="s">
        <v>35</v>
      </c>
      <c r="F53" t="s">
        <v>48</v>
      </c>
      <c r="G53" t="s">
        <v>26</v>
      </c>
      <c r="H53" t="s">
        <v>15</v>
      </c>
      <c r="I53" t="s">
        <v>111</v>
      </c>
      <c r="J53" s="4">
        <v>96</v>
      </c>
      <c r="K53" s="8">
        <f>IFERROR(VLOOKUP(E53, ทีมช่าง!$A$2:$C$33, 3, 0), 0)</f>
        <v>80</v>
      </c>
      <c r="L53" s="8">
        <f t="shared" si="3"/>
        <v>7680</v>
      </c>
      <c r="M53" s="8">
        <v>0</v>
      </c>
      <c r="N53" s="8">
        <v>0</v>
      </c>
      <c r="O53" s="8">
        <v>0</v>
      </c>
      <c r="P53" s="8">
        <v>0</v>
      </c>
      <c r="Q53" s="8">
        <f t="shared" si="2"/>
        <v>7680</v>
      </c>
      <c r="R53" s="8">
        <v>7680</v>
      </c>
      <c r="S53" s="8">
        <f t="shared" si="4"/>
        <v>7680</v>
      </c>
    </row>
    <row r="54" spans="1:19" x14ac:dyDescent="0.2">
      <c r="A54">
        <v>2025</v>
      </c>
      <c r="B54" s="2">
        <v>45680</v>
      </c>
      <c r="C54" s="2">
        <v>45685</v>
      </c>
      <c r="D54" s="2" t="s">
        <v>145</v>
      </c>
      <c r="E54" s="5" t="s">
        <v>35</v>
      </c>
      <c r="F54" t="s">
        <v>49</v>
      </c>
      <c r="G54" t="s">
        <v>26</v>
      </c>
      <c r="H54" t="s">
        <v>15</v>
      </c>
      <c r="I54" t="s">
        <v>107</v>
      </c>
      <c r="J54" s="4">
        <v>127</v>
      </c>
      <c r="K54" s="8">
        <f>IFERROR(VLOOKUP(E54, ทีมช่าง!$A$2:$C$33, 3, 0), 0)</f>
        <v>80</v>
      </c>
      <c r="L54" s="8">
        <f t="shared" si="3"/>
        <v>10160</v>
      </c>
      <c r="M54" s="8">
        <v>0</v>
      </c>
      <c r="N54" s="8">
        <v>0</v>
      </c>
      <c r="O54" s="8">
        <v>0</v>
      </c>
      <c r="P54" s="8">
        <v>0</v>
      </c>
      <c r="Q54" s="8">
        <f t="shared" si="2"/>
        <v>10160</v>
      </c>
      <c r="R54" s="8">
        <v>10160</v>
      </c>
      <c r="S54" s="8">
        <f t="shared" si="4"/>
        <v>10160</v>
      </c>
    </row>
    <row r="55" spans="1:19" x14ac:dyDescent="0.2">
      <c r="A55">
        <v>2025</v>
      </c>
      <c r="B55" s="2">
        <v>45671</v>
      </c>
      <c r="C55" s="2">
        <v>45676</v>
      </c>
      <c r="D55" s="2" t="s">
        <v>145</v>
      </c>
      <c r="E55" s="5" t="s">
        <v>38</v>
      </c>
      <c r="F55" t="s">
        <v>77</v>
      </c>
      <c r="G55" t="s">
        <v>26</v>
      </c>
      <c r="H55" t="s">
        <v>15</v>
      </c>
      <c r="I55" t="s">
        <v>107</v>
      </c>
      <c r="J55" s="4">
        <v>111</v>
      </c>
      <c r="K55" s="8">
        <f>IFERROR(VLOOKUP(E55, ทีมช่าง!$A$2:$C$33, 3, 0), 0)</f>
        <v>70</v>
      </c>
      <c r="L55" s="8">
        <f t="shared" si="3"/>
        <v>7770</v>
      </c>
      <c r="M55" s="8">
        <v>0</v>
      </c>
      <c r="N55" s="8">
        <v>0</v>
      </c>
      <c r="O55" s="8">
        <v>0</v>
      </c>
      <c r="P55" s="8">
        <v>0</v>
      </c>
      <c r="Q55" s="8">
        <f t="shared" si="2"/>
        <v>7770</v>
      </c>
      <c r="R55" s="8">
        <v>7770</v>
      </c>
      <c r="S55" s="8">
        <f t="shared" si="4"/>
        <v>7770</v>
      </c>
    </row>
    <row r="56" spans="1:19" x14ac:dyDescent="0.2">
      <c r="A56">
        <v>2025</v>
      </c>
      <c r="B56" s="2">
        <v>45681</v>
      </c>
      <c r="C56" s="2">
        <v>45686</v>
      </c>
      <c r="D56" s="2" t="s">
        <v>145</v>
      </c>
      <c r="E56" s="5" t="s">
        <v>35</v>
      </c>
      <c r="F56" t="s">
        <v>50</v>
      </c>
      <c r="G56" t="s">
        <v>28</v>
      </c>
      <c r="H56" t="s">
        <v>15</v>
      </c>
      <c r="I56" t="s">
        <v>109</v>
      </c>
      <c r="J56" s="4">
        <v>172</v>
      </c>
      <c r="K56" s="8">
        <f>IFERROR(VLOOKUP(E56, ทีมช่าง!$A$2:$C$33, 3, 0), 0)</f>
        <v>80</v>
      </c>
      <c r="L56" s="8">
        <f t="shared" si="3"/>
        <v>13760</v>
      </c>
      <c r="M56" s="8">
        <v>5000</v>
      </c>
      <c r="N56" s="8">
        <v>5000</v>
      </c>
      <c r="O56" s="8">
        <v>5000</v>
      </c>
      <c r="P56" s="8">
        <v>11500</v>
      </c>
      <c r="Q56" s="8">
        <f t="shared" si="2"/>
        <v>17260</v>
      </c>
      <c r="R56" s="8">
        <v>17260</v>
      </c>
      <c r="S56" s="8">
        <f t="shared" si="4"/>
        <v>17260</v>
      </c>
    </row>
    <row r="57" spans="1:19" x14ac:dyDescent="0.2">
      <c r="A57">
        <v>2025</v>
      </c>
      <c r="B57" s="2">
        <v>45672</v>
      </c>
      <c r="C57" s="2">
        <v>45677</v>
      </c>
      <c r="D57" s="2" t="s">
        <v>145</v>
      </c>
      <c r="E57" s="5" t="s">
        <v>35</v>
      </c>
      <c r="F57" t="s">
        <v>51</v>
      </c>
      <c r="G57" t="s">
        <v>28</v>
      </c>
      <c r="H57" t="s">
        <v>15</v>
      </c>
      <c r="I57" t="s">
        <v>112</v>
      </c>
      <c r="J57" s="4">
        <v>195</v>
      </c>
      <c r="K57" s="8">
        <f>IFERROR(VLOOKUP(E57, ทีมช่าง!$A$2:$C$33, 3, 0), 0)</f>
        <v>80</v>
      </c>
      <c r="L57" s="8">
        <f t="shared" si="3"/>
        <v>15600</v>
      </c>
      <c r="M57" s="8">
        <v>5000</v>
      </c>
      <c r="N57" s="8">
        <v>5000</v>
      </c>
      <c r="O57" s="8">
        <v>5000</v>
      </c>
      <c r="P57" s="8">
        <v>11500</v>
      </c>
      <c r="Q57" s="8">
        <f t="shared" si="2"/>
        <v>19100</v>
      </c>
      <c r="R57" s="8">
        <v>19100</v>
      </c>
      <c r="S57" s="8">
        <f t="shared" si="4"/>
        <v>19100</v>
      </c>
    </row>
    <row r="58" spans="1:19" x14ac:dyDescent="0.2">
      <c r="A58">
        <v>2025</v>
      </c>
      <c r="B58" s="2">
        <v>45682</v>
      </c>
      <c r="C58" s="2">
        <v>45687</v>
      </c>
      <c r="D58" s="2" t="s">
        <v>145</v>
      </c>
      <c r="E58" s="5" t="s">
        <v>35</v>
      </c>
      <c r="F58" t="s">
        <v>52</v>
      </c>
      <c r="G58" t="s">
        <v>27</v>
      </c>
      <c r="H58" t="s">
        <v>15</v>
      </c>
      <c r="I58" t="s">
        <v>107</v>
      </c>
      <c r="J58" s="4">
        <v>173</v>
      </c>
      <c r="K58" s="8">
        <f>IFERROR(VLOOKUP(E58, ทีมช่าง!$A$2:$C$33, 3, 0), 0)</f>
        <v>80</v>
      </c>
      <c r="L58" s="8">
        <f t="shared" si="3"/>
        <v>13840</v>
      </c>
      <c r="M58" s="8">
        <v>5000</v>
      </c>
      <c r="N58" s="8">
        <v>5000</v>
      </c>
      <c r="O58" s="8">
        <v>5000</v>
      </c>
      <c r="P58" s="8">
        <v>11500</v>
      </c>
      <c r="Q58" s="8">
        <f t="shared" si="2"/>
        <v>17340</v>
      </c>
      <c r="R58" s="8">
        <v>17340</v>
      </c>
      <c r="S58" s="8">
        <f t="shared" si="4"/>
        <v>17340</v>
      </c>
    </row>
    <row r="59" spans="1:19" x14ac:dyDescent="0.2">
      <c r="A59">
        <v>2025</v>
      </c>
      <c r="B59" s="2">
        <v>45673</v>
      </c>
      <c r="C59" s="2">
        <v>45678</v>
      </c>
      <c r="D59" s="2" t="s">
        <v>145</v>
      </c>
      <c r="E59" s="5" t="s">
        <v>35</v>
      </c>
      <c r="F59" t="s">
        <v>53</v>
      </c>
      <c r="G59" t="s">
        <v>28</v>
      </c>
      <c r="H59" t="s">
        <v>15</v>
      </c>
      <c r="I59" t="s">
        <v>110</v>
      </c>
      <c r="J59" s="4">
        <v>161</v>
      </c>
      <c r="K59" s="8">
        <f>IFERROR(VLOOKUP(E59, ทีมช่าง!$A$2:$C$33, 3, 0), 0)</f>
        <v>80</v>
      </c>
      <c r="L59" s="8">
        <f t="shared" si="3"/>
        <v>12880</v>
      </c>
      <c r="M59" s="8">
        <v>5000</v>
      </c>
      <c r="N59" s="8">
        <v>5000</v>
      </c>
      <c r="O59" s="8">
        <v>5000</v>
      </c>
      <c r="P59" s="8">
        <v>11500</v>
      </c>
      <c r="Q59" s="8">
        <f t="shared" si="2"/>
        <v>16380</v>
      </c>
      <c r="R59" s="8">
        <v>16380</v>
      </c>
      <c r="S59" s="8">
        <f t="shared" si="4"/>
        <v>16380</v>
      </c>
    </row>
    <row r="60" spans="1:19" x14ac:dyDescent="0.2">
      <c r="A60">
        <v>2025</v>
      </c>
      <c r="B60" s="2">
        <v>45683</v>
      </c>
      <c r="C60" s="2">
        <v>45688</v>
      </c>
      <c r="D60" s="2" t="s">
        <v>145</v>
      </c>
      <c r="E60" s="5" t="s">
        <v>38</v>
      </c>
      <c r="F60" t="s">
        <v>54</v>
      </c>
      <c r="G60" t="s">
        <v>26</v>
      </c>
      <c r="H60" t="s">
        <v>15</v>
      </c>
      <c r="I60" t="s">
        <v>107</v>
      </c>
      <c r="J60" s="4">
        <v>100.5</v>
      </c>
      <c r="K60" s="8">
        <f>IFERROR(VLOOKUP(E60, ทีมช่าง!$A$2:$C$33, 3, 0), 0)</f>
        <v>70</v>
      </c>
      <c r="L60" s="8">
        <f t="shared" si="3"/>
        <v>7035</v>
      </c>
      <c r="M60" s="8">
        <v>0</v>
      </c>
      <c r="N60" s="8">
        <v>0</v>
      </c>
      <c r="O60" s="8">
        <v>0</v>
      </c>
      <c r="P60" s="8">
        <v>0</v>
      </c>
      <c r="Q60" s="8">
        <f t="shared" si="2"/>
        <v>7035</v>
      </c>
      <c r="R60" s="8">
        <v>7035</v>
      </c>
      <c r="S60" s="8">
        <f t="shared" si="4"/>
        <v>7035</v>
      </c>
    </row>
    <row r="61" spans="1:19" x14ac:dyDescent="0.2">
      <c r="A61">
        <v>2025</v>
      </c>
      <c r="B61" s="2">
        <v>45674</v>
      </c>
      <c r="C61" s="2">
        <v>45679</v>
      </c>
      <c r="D61" s="2" t="s">
        <v>145</v>
      </c>
      <c r="E61" s="5" t="s">
        <v>38</v>
      </c>
      <c r="F61" t="s">
        <v>55</v>
      </c>
      <c r="G61" t="s">
        <v>26</v>
      </c>
      <c r="H61" t="s">
        <v>15</v>
      </c>
      <c r="I61" t="s">
        <v>107</v>
      </c>
      <c r="J61" s="4">
        <v>1</v>
      </c>
      <c r="K61" s="8">
        <f>IFERROR(VLOOKUP(E61, ทีมช่าง!$A$2:$C$33, 3, 0), 0)</f>
        <v>70</v>
      </c>
      <c r="L61" s="8">
        <f t="shared" si="3"/>
        <v>70</v>
      </c>
      <c r="M61" s="8">
        <v>0</v>
      </c>
      <c r="N61" s="8">
        <v>0</v>
      </c>
      <c r="O61" s="8">
        <v>0</v>
      </c>
      <c r="P61" s="8">
        <v>0</v>
      </c>
      <c r="Q61" s="8">
        <f t="shared" si="2"/>
        <v>70</v>
      </c>
      <c r="R61" s="8">
        <v>70</v>
      </c>
      <c r="S61" s="8">
        <f t="shared" si="4"/>
        <v>70</v>
      </c>
    </row>
    <row r="62" spans="1:19" x14ac:dyDescent="0.2">
      <c r="A62">
        <v>2025</v>
      </c>
      <c r="B62" s="2">
        <v>45684</v>
      </c>
      <c r="C62" s="2">
        <v>45689</v>
      </c>
      <c r="D62" s="2" t="s">
        <v>145</v>
      </c>
      <c r="E62" s="5" t="s">
        <v>35</v>
      </c>
      <c r="F62" t="s">
        <v>56</v>
      </c>
      <c r="G62" t="s">
        <v>26</v>
      </c>
      <c r="H62" t="s">
        <v>15</v>
      </c>
      <c r="I62" t="s">
        <v>113</v>
      </c>
      <c r="J62" s="4">
        <v>90.5</v>
      </c>
      <c r="K62" s="8">
        <f>IFERROR(VLOOKUP(E62, ทีมช่าง!$A$2:$C$33, 3, 0), 0)</f>
        <v>80</v>
      </c>
      <c r="L62" s="8">
        <f t="shared" si="3"/>
        <v>7240</v>
      </c>
      <c r="M62" s="8">
        <v>0</v>
      </c>
      <c r="N62" s="8">
        <v>0</v>
      </c>
      <c r="O62" s="8">
        <v>0</v>
      </c>
      <c r="P62" s="8">
        <v>0</v>
      </c>
      <c r="Q62" s="8">
        <f t="shared" si="2"/>
        <v>7240</v>
      </c>
      <c r="R62" s="8">
        <v>7240</v>
      </c>
      <c r="S62" s="8">
        <f t="shared" si="4"/>
        <v>7240</v>
      </c>
    </row>
    <row r="63" spans="1:19" x14ac:dyDescent="0.2">
      <c r="A63">
        <v>2025</v>
      </c>
      <c r="B63" s="2">
        <v>45675</v>
      </c>
      <c r="C63" s="2">
        <v>45680</v>
      </c>
      <c r="D63" s="2" t="s">
        <v>145</v>
      </c>
      <c r="E63" s="5" t="s">
        <v>35</v>
      </c>
      <c r="F63" t="s">
        <v>78</v>
      </c>
      <c r="G63" t="s">
        <v>26</v>
      </c>
      <c r="H63" t="s">
        <v>15</v>
      </c>
      <c r="I63" t="s">
        <v>110</v>
      </c>
      <c r="J63" s="4">
        <v>105</v>
      </c>
      <c r="K63" s="8">
        <f>IFERROR(VLOOKUP(E63, ทีมช่าง!$A$2:$C$33, 3, 0), 0)</f>
        <v>80</v>
      </c>
      <c r="L63" s="8">
        <f t="shared" si="3"/>
        <v>8400</v>
      </c>
      <c r="M63" s="8">
        <v>0</v>
      </c>
      <c r="N63" s="8">
        <v>0</v>
      </c>
      <c r="O63" s="8">
        <v>0</v>
      </c>
      <c r="P63" s="8">
        <v>0</v>
      </c>
      <c r="Q63" s="8">
        <f t="shared" si="2"/>
        <v>8400</v>
      </c>
      <c r="R63" s="8">
        <v>8400</v>
      </c>
      <c r="S63" s="8">
        <f t="shared" si="4"/>
        <v>8400</v>
      </c>
    </row>
    <row r="64" spans="1:19" x14ac:dyDescent="0.2">
      <c r="A64">
        <v>2025</v>
      </c>
      <c r="B64" s="2">
        <v>45685</v>
      </c>
      <c r="C64" s="2">
        <v>45690</v>
      </c>
      <c r="D64" s="2" t="s">
        <v>145</v>
      </c>
      <c r="E64" s="5" t="s">
        <v>152</v>
      </c>
      <c r="F64" t="s">
        <v>6</v>
      </c>
      <c r="G64" t="s">
        <v>123</v>
      </c>
      <c r="H64" t="s">
        <v>15</v>
      </c>
      <c r="I64" t="s">
        <v>109</v>
      </c>
      <c r="J64" s="4">
        <v>1500</v>
      </c>
      <c r="K64" s="8">
        <f>IFERROR(VLOOKUP(E64, ทีมช่าง!$A$2:$C$33, 3, 0), 0)</f>
        <v>1</v>
      </c>
      <c r="L64" s="8">
        <f t="shared" si="3"/>
        <v>1500</v>
      </c>
      <c r="M64" s="8">
        <v>0</v>
      </c>
      <c r="N64" s="8">
        <v>0</v>
      </c>
      <c r="O64" s="8">
        <v>0</v>
      </c>
      <c r="P64" s="8">
        <v>0</v>
      </c>
      <c r="Q64" s="8">
        <f t="shared" si="2"/>
        <v>1500</v>
      </c>
      <c r="R64" s="8">
        <v>1500</v>
      </c>
      <c r="S64" s="8">
        <f t="shared" si="4"/>
        <v>1500</v>
      </c>
    </row>
    <row r="65" spans="1:19" x14ac:dyDescent="0.2">
      <c r="A65">
        <v>2025</v>
      </c>
      <c r="B65" s="2">
        <v>45676</v>
      </c>
      <c r="C65" s="2">
        <v>45681</v>
      </c>
      <c r="D65" s="2" t="s">
        <v>145</v>
      </c>
      <c r="E65" s="5" t="s">
        <v>39</v>
      </c>
      <c r="F65" t="s">
        <v>57</v>
      </c>
      <c r="G65" t="s">
        <v>26</v>
      </c>
      <c r="H65" t="s">
        <v>15</v>
      </c>
      <c r="I65" t="s">
        <v>114</v>
      </c>
      <c r="J65" s="4">
        <v>57</v>
      </c>
      <c r="K65" s="8">
        <f>IFERROR(VLOOKUP(E65, ทีมช่าง!$A$2:$C$33, 3, 0), 0)</f>
        <v>70</v>
      </c>
      <c r="L65" s="8">
        <f t="shared" si="3"/>
        <v>3990</v>
      </c>
      <c r="M65" s="8">
        <v>0</v>
      </c>
      <c r="N65" s="8">
        <v>0</v>
      </c>
      <c r="O65" s="8">
        <v>0</v>
      </c>
      <c r="P65" s="8">
        <v>0</v>
      </c>
      <c r="Q65" s="8">
        <f t="shared" si="2"/>
        <v>3990</v>
      </c>
      <c r="R65" s="8">
        <v>3990</v>
      </c>
      <c r="S65" s="8">
        <f t="shared" si="4"/>
        <v>3990</v>
      </c>
    </row>
    <row r="66" spans="1:19" x14ac:dyDescent="0.2">
      <c r="A66">
        <v>2025</v>
      </c>
      <c r="B66" s="2">
        <v>45686</v>
      </c>
      <c r="C66" s="2">
        <v>45691</v>
      </c>
      <c r="D66" s="2" t="s">
        <v>145</v>
      </c>
      <c r="E66" s="5" t="s">
        <v>35</v>
      </c>
      <c r="F66" t="s">
        <v>58</v>
      </c>
      <c r="G66" t="s">
        <v>27</v>
      </c>
      <c r="H66" t="s">
        <v>15</v>
      </c>
      <c r="I66" t="s">
        <v>115</v>
      </c>
      <c r="J66" s="4">
        <v>331</v>
      </c>
      <c r="K66" s="8">
        <f>IFERROR(VLOOKUP(E66, ทีมช่าง!$A$2:$C$33, 3, 0), 0)</f>
        <v>80</v>
      </c>
      <c r="L66" s="8">
        <f t="shared" ref="L66:L84" si="5">J66*K66</f>
        <v>26480</v>
      </c>
      <c r="M66" s="8">
        <v>5000</v>
      </c>
      <c r="N66" s="8">
        <v>5000</v>
      </c>
      <c r="O66" s="8">
        <v>5000</v>
      </c>
      <c r="P66" s="8">
        <v>11500</v>
      </c>
      <c r="Q66" s="8">
        <f t="shared" si="2"/>
        <v>29980</v>
      </c>
      <c r="R66" s="8">
        <v>29980</v>
      </c>
      <c r="S66" s="8">
        <f t="shared" ref="S66:S84" si="6">(K66*J66)+(M66+N66+O66)-P66</f>
        <v>29980</v>
      </c>
    </row>
    <row r="67" spans="1:19" x14ac:dyDescent="0.2">
      <c r="A67">
        <v>2025</v>
      </c>
      <c r="B67" s="2">
        <v>45677</v>
      </c>
      <c r="C67" s="2">
        <v>45682</v>
      </c>
      <c r="D67" s="2" t="s">
        <v>145</v>
      </c>
      <c r="E67" s="5" t="s">
        <v>39</v>
      </c>
      <c r="F67" t="s">
        <v>59</v>
      </c>
      <c r="G67" t="s">
        <v>26</v>
      </c>
      <c r="H67" t="s">
        <v>15</v>
      </c>
      <c r="I67" t="s">
        <v>114</v>
      </c>
      <c r="J67" s="4">
        <v>55</v>
      </c>
      <c r="K67" s="8">
        <f>IFERROR(VLOOKUP(E67, ทีมช่าง!$A$2:$C$33, 3, 0), 0)</f>
        <v>70</v>
      </c>
      <c r="L67" s="8">
        <f t="shared" si="5"/>
        <v>3850</v>
      </c>
      <c r="M67" s="8">
        <v>0</v>
      </c>
      <c r="N67" s="8">
        <v>0</v>
      </c>
      <c r="O67" s="8">
        <v>0</v>
      </c>
      <c r="P67" s="8">
        <v>0</v>
      </c>
      <c r="Q67" s="8">
        <f t="shared" ref="Q67:Q85" si="7">K67*J67+M67+N67+O67-P67</f>
        <v>3850</v>
      </c>
      <c r="R67" s="8">
        <v>3850</v>
      </c>
      <c r="S67" s="8">
        <f t="shared" si="6"/>
        <v>3850</v>
      </c>
    </row>
    <row r="68" spans="1:19" x14ac:dyDescent="0.2">
      <c r="A68">
        <v>2025</v>
      </c>
      <c r="B68" s="2">
        <v>45687</v>
      </c>
      <c r="C68" s="2">
        <v>45692</v>
      </c>
      <c r="D68" s="2" t="s">
        <v>145</v>
      </c>
      <c r="E68" s="5" t="s">
        <v>39</v>
      </c>
      <c r="F68" t="s">
        <v>60</v>
      </c>
      <c r="G68" t="s">
        <v>26</v>
      </c>
      <c r="H68" t="s">
        <v>15</v>
      </c>
      <c r="I68" t="s">
        <v>114</v>
      </c>
      <c r="J68" s="4">
        <v>58.5</v>
      </c>
      <c r="K68" s="8">
        <f>IFERROR(VLOOKUP(E68, ทีมช่าง!$A$2:$C$33, 3, 0), 0)</f>
        <v>70</v>
      </c>
      <c r="L68" s="8">
        <f t="shared" si="5"/>
        <v>4095</v>
      </c>
      <c r="M68" s="8">
        <v>0</v>
      </c>
      <c r="N68" s="8">
        <v>0</v>
      </c>
      <c r="O68" s="8">
        <v>0</v>
      </c>
      <c r="P68" s="8">
        <v>0</v>
      </c>
      <c r="Q68" s="8">
        <f t="shared" si="7"/>
        <v>4095</v>
      </c>
      <c r="R68" s="8">
        <v>4095</v>
      </c>
      <c r="S68" s="8">
        <f t="shared" si="6"/>
        <v>4095</v>
      </c>
    </row>
    <row r="69" spans="1:19" x14ac:dyDescent="0.2">
      <c r="A69">
        <v>2025</v>
      </c>
      <c r="B69" s="2">
        <v>45678</v>
      </c>
      <c r="C69" s="2">
        <v>45683</v>
      </c>
      <c r="D69" s="2" t="s">
        <v>145</v>
      </c>
      <c r="E69" s="5" t="s">
        <v>39</v>
      </c>
      <c r="F69" t="s">
        <v>61</v>
      </c>
      <c r="G69" t="s">
        <v>26</v>
      </c>
      <c r="H69" t="s">
        <v>15</v>
      </c>
      <c r="I69" t="s">
        <v>114</v>
      </c>
      <c r="J69" s="4">
        <v>84</v>
      </c>
      <c r="K69" s="8">
        <f>IFERROR(VLOOKUP(E69, ทีมช่าง!$A$2:$C$33, 3, 0), 0)</f>
        <v>70</v>
      </c>
      <c r="L69" s="8">
        <f t="shared" si="5"/>
        <v>5880</v>
      </c>
      <c r="M69" s="8">
        <v>0</v>
      </c>
      <c r="N69" s="8">
        <v>0</v>
      </c>
      <c r="O69" s="8">
        <v>0</v>
      </c>
      <c r="P69" s="8">
        <v>0</v>
      </c>
      <c r="Q69" s="8">
        <f t="shared" si="7"/>
        <v>5880</v>
      </c>
      <c r="R69" s="8">
        <v>5880</v>
      </c>
      <c r="S69" s="8">
        <f t="shared" si="6"/>
        <v>5880</v>
      </c>
    </row>
    <row r="70" spans="1:19" x14ac:dyDescent="0.2">
      <c r="A70">
        <v>2025</v>
      </c>
      <c r="B70" s="2">
        <v>45688</v>
      </c>
      <c r="C70" s="2">
        <v>45693</v>
      </c>
      <c r="D70" s="2" t="s">
        <v>145</v>
      </c>
      <c r="E70" s="5" t="s">
        <v>39</v>
      </c>
      <c r="F70" t="s">
        <v>62</v>
      </c>
      <c r="G70" t="s">
        <v>26</v>
      </c>
      <c r="H70" t="s">
        <v>15</v>
      </c>
      <c r="I70" t="s">
        <v>114</v>
      </c>
      <c r="J70" s="4">
        <v>101</v>
      </c>
      <c r="K70" s="8">
        <f>IFERROR(VLOOKUP(E70, ทีมช่าง!$A$2:$C$33, 3, 0), 0)</f>
        <v>70</v>
      </c>
      <c r="L70" s="8">
        <f t="shared" si="5"/>
        <v>7070</v>
      </c>
      <c r="M70" s="8">
        <v>0</v>
      </c>
      <c r="N70" s="8">
        <v>0</v>
      </c>
      <c r="O70" s="8">
        <v>0</v>
      </c>
      <c r="P70" s="8">
        <v>0</v>
      </c>
      <c r="Q70" s="8">
        <f t="shared" si="7"/>
        <v>7070</v>
      </c>
      <c r="R70" s="8">
        <v>7070</v>
      </c>
      <c r="S70" s="8">
        <f t="shared" si="6"/>
        <v>7070</v>
      </c>
    </row>
    <row r="71" spans="1:19" x14ac:dyDescent="0.2">
      <c r="A71">
        <v>2025</v>
      </c>
      <c r="B71" s="2">
        <v>45679</v>
      </c>
      <c r="C71" s="2">
        <v>45684</v>
      </c>
      <c r="D71" s="2" t="s">
        <v>145</v>
      </c>
      <c r="E71" s="5" t="s">
        <v>35</v>
      </c>
      <c r="F71" t="s">
        <v>63</v>
      </c>
      <c r="G71" t="s">
        <v>26</v>
      </c>
      <c r="H71" t="s">
        <v>15</v>
      </c>
      <c r="I71" t="s">
        <v>108</v>
      </c>
      <c r="J71" s="4">
        <v>181</v>
      </c>
      <c r="K71" s="8">
        <f>IFERROR(VLOOKUP(E71, ทีมช่าง!$A$2:$C$33, 3, 0), 0)</f>
        <v>80</v>
      </c>
      <c r="L71" s="8">
        <f t="shared" si="5"/>
        <v>14480</v>
      </c>
      <c r="M71" s="8">
        <v>5000</v>
      </c>
      <c r="N71" s="8">
        <v>5000</v>
      </c>
      <c r="O71" s="8">
        <v>5000</v>
      </c>
      <c r="P71" s="8">
        <v>11500</v>
      </c>
      <c r="Q71" s="8">
        <f t="shared" si="7"/>
        <v>17980</v>
      </c>
      <c r="R71" s="8">
        <v>17980</v>
      </c>
      <c r="S71" s="8">
        <f t="shared" si="6"/>
        <v>17980</v>
      </c>
    </row>
    <row r="72" spans="1:19" x14ac:dyDescent="0.2">
      <c r="A72">
        <v>2025</v>
      </c>
      <c r="B72" s="2">
        <v>45689</v>
      </c>
      <c r="C72" s="2">
        <v>45694</v>
      </c>
      <c r="D72" s="2" t="s">
        <v>145</v>
      </c>
      <c r="E72" s="5" t="s">
        <v>39</v>
      </c>
      <c r="F72" t="s">
        <v>64</v>
      </c>
      <c r="G72" t="s">
        <v>26</v>
      </c>
      <c r="H72" t="s">
        <v>15</v>
      </c>
      <c r="I72" t="s">
        <v>113</v>
      </c>
      <c r="J72" s="4">
        <v>67.5</v>
      </c>
      <c r="K72" s="8">
        <f>IFERROR(VLOOKUP(E72, ทีมช่าง!$A$2:$C$33, 3, 0), 0)</f>
        <v>70</v>
      </c>
      <c r="L72" s="8">
        <f t="shared" si="5"/>
        <v>4725</v>
      </c>
      <c r="M72" s="8">
        <v>0</v>
      </c>
      <c r="N72" s="8">
        <v>0</v>
      </c>
      <c r="O72" s="8">
        <v>0</v>
      </c>
      <c r="P72" s="8">
        <v>0</v>
      </c>
      <c r="Q72" s="8">
        <f t="shared" si="7"/>
        <v>4725</v>
      </c>
      <c r="R72" s="8">
        <v>4725</v>
      </c>
      <c r="S72" s="8">
        <f t="shared" si="6"/>
        <v>4725</v>
      </c>
    </row>
    <row r="73" spans="1:19" x14ac:dyDescent="0.2">
      <c r="A73">
        <v>2025</v>
      </c>
      <c r="B73" s="2">
        <v>45680</v>
      </c>
      <c r="C73" s="2">
        <v>45685</v>
      </c>
      <c r="D73" s="2" t="s">
        <v>145</v>
      </c>
      <c r="E73" s="5" t="s">
        <v>39</v>
      </c>
      <c r="F73" t="s">
        <v>65</v>
      </c>
      <c r="G73" t="s">
        <v>26</v>
      </c>
      <c r="H73" t="s">
        <v>15</v>
      </c>
      <c r="I73" t="s">
        <v>114</v>
      </c>
      <c r="J73" s="4">
        <v>55.5</v>
      </c>
      <c r="K73" s="8">
        <f>IFERROR(VLOOKUP(E73, ทีมช่าง!$A$2:$C$33, 3, 0), 0)</f>
        <v>70</v>
      </c>
      <c r="L73" s="8">
        <f t="shared" si="5"/>
        <v>3885</v>
      </c>
      <c r="M73" s="8">
        <v>0</v>
      </c>
      <c r="N73" s="8">
        <v>0</v>
      </c>
      <c r="O73" s="8">
        <v>0</v>
      </c>
      <c r="P73" s="8">
        <v>0</v>
      </c>
      <c r="Q73" s="8">
        <f t="shared" si="7"/>
        <v>3885</v>
      </c>
      <c r="R73" s="8">
        <v>3885</v>
      </c>
      <c r="S73" s="8">
        <f t="shared" si="6"/>
        <v>3885</v>
      </c>
    </row>
    <row r="74" spans="1:19" x14ac:dyDescent="0.2">
      <c r="A74">
        <v>2025</v>
      </c>
      <c r="B74" s="2">
        <v>45690</v>
      </c>
      <c r="C74" s="2">
        <v>45695</v>
      </c>
      <c r="D74" s="2" t="s">
        <v>145</v>
      </c>
      <c r="E74" s="5" t="s">
        <v>39</v>
      </c>
      <c r="F74" t="s">
        <v>66</v>
      </c>
      <c r="G74" t="s">
        <v>26</v>
      </c>
      <c r="H74" t="s">
        <v>15</v>
      </c>
      <c r="I74" t="s">
        <v>113</v>
      </c>
      <c r="J74" s="4">
        <v>75.5</v>
      </c>
      <c r="K74" s="8">
        <f>IFERROR(VLOOKUP(E74, ทีมช่าง!$A$2:$C$33, 3, 0), 0)</f>
        <v>70</v>
      </c>
      <c r="L74" s="8">
        <f t="shared" si="5"/>
        <v>5285</v>
      </c>
      <c r="M74" s="8">
        <v>0</v>
      </c>
      <c r="N74" s="8">
        <v>0</v>
      </c>
      <c r="O74" s="8">
        <v>0</v>
      </c>
      <c r="P74" s="8">
        <v>0</v>
      </c>
      <c r="Q74" s="8">
        <f t="shared" si="7"/>
        <v>5285</v>
      </c>
      <c r="R74" s="8">
        <v>5285</v>
      </c>
      <c r="S74" s="8">
        <f t="shared" si="6"/>
        <v>5285</v>
      </c>
    </row>
    <row r="75" spans="1:19" x14ac:dyDescent="0.2">
      <c r="A75">
        <v>2025</v>
      </c>
      <c r="B75" s="2">
        <v>45681</v>
      </c>
      <c r="C75" s="2">
        <v>45686</v>
      </c>
      <c r="D75" s="2" t="s">
        <v>145</v>
      </c>
      <c r="E75" s="5" t="s">
        <v>35</v>
      </c>
      <c r="F75" t="s">
        <v>67</v>
      </c>
      <c r="G75" t="s">
        <v>26</v>
      </c>
      <c r="H75" t="s">
        <v>15</v>
      </c>
      <c r="I75" t="s">
        <v>113</v>
      </c>
      <c r="J75" s="4">
        <v>85</v>
      </c>
      <c r="K75" s="8">
        <f>IFERROR(VLOOKUP(E75, ทีมช่าง!$A$2:$C$33, 3, 0), 0)</f>
        <v>80</v>
      </c>
      <c r="L75" s="8">
        <f t="shared" si="5"/>
        <v>6800</v>
      </c>
      <c r="M75" s="8">
        <v>0</v>
      </c>
      <c r="N75" s="8">
        <v>0</v>
      </c>
      <c r="O75" s="8">
        <v>0</v>
      </c>
      <c r="P75" s="8">
        <v>0</v>
      </c>
      <c r="Q75" s="8">
        <f t="shared" si="7"/>
        <v>6800</v>
      </c>
      <c r="R75" s="8">
        <v>6800</v>
      </c>
      <c r="S75" s="8">
        <f t="shared" si="6"/>
        <v>6800</v>
      </c>
    </row>
    <row r="76" spans="1:19" x14ac:dyDescent="0.2">
      <c r="A76">
        <v>2025</v>
      </c>
      <c r="B76" s="2">
        <v>45691</v>
      </c>
      <c r="C76" s="2">
        <v>45696</v>
      </c>
      <c r="D76" s="2" t="s">
        <v>145</v>
      </c>
      <c r="E76" s="5" t="s">
        <v>35</v>
      </c>
      <c r="F76" t="s">
        <v>68</v>
      </c>
      <c r="G76" t="s">
        <v>26</v>
      </c>
      <c r="H76" t="s">
        <v>15</v>
      </c>
      <c r="I76" t="s">
        <v>113</v>
      </c>
      <c r="J76" s="4">
        <v>93.5</v>
      </c>
      <c r="K76" s="8">
        <f>IFERROR(VLOOKUP(E76, ทีมช่าง!$A$2:$C$33, 3, 0), 0)</f>
        <v>80</v>
      </c>
      <c r="L76" s="8">
        <f t="shared" si="5"/>
        <v>7480</v>
      </c>
      <c r="M76" s="8">
        <v>0</v>
      </c>
      <c r="N76" s="8">
        <v>0</v>
      </c>
      <c r="O76" s="8">
        <v>0</v>
      </c>
      <c r="P76" s="8">
        <v>0</v>
      </c>
      <c r="Q76" s="8">
        <f t="shared" si="7"/>
        <v>7480</v>
      </c>
      <c r="R76" s="8">
        <v>7480</v>
      </c>
      <c r="S76" s="8">
        <f t="shared" si="6"/>
        <v>7480</v>
      </c>
    </row>
    <row r="77" spans="1:19" x14ac:dyDescent="0.2">
      <c r="A77">
        <v>2025</v>
      </c>
      <c r="B77" s="2">
        <v>45682</v>
      </c>
      <c r="C77" s="2">
        <v>45687</v>
      </c>
      <c r="D77" s="2" t="s">
        <v>145</v>
      </c>
      <c r="E77" s="5" t="s">
        <v>35</v>
      </c>
      <c r="F77" t="s">
        <v>69</v>
      </c>
      <c r="G77" t="s">
        <v>26</v>
      </c>
      <c r="H77" t="s">
        <v>15</v>
      </c>
      <c r="I77" t="s">
        <v>111</v>
      </c>
      <c r="J77" s="4">
        <v>78</v>
      </c>
      <c r="K77" s="8">
        <f>IFERROR(VLOOKUP(E77, ทีมช่าง!$A$2:$C$33, 3, 0), 0)</f>
        <v>80</v>
      </c>
      <c r="L77" s="8">
        <f t="shared" si="5"/>
        <v>6240</v>
      </c>
      <c r="M77" s="8">
        <v>0</v>
      </c>
      <c r="N77" s="8">
        <v>0</v>
      </c>
      <c r="O77" s="8">
        <v>0</v>
      </c>
      <c r="P77" s="8">
        <v>0</v>
      </c>
      <c r="Q77" s="8">
        <f t="shared" si="7"/>
        <v>6240</v>
      </c>
      <c r="R77" s="8">
        <v>6240</v>
      </c>
      <c r="S77" s="8">
        <f t="shared" si="6"/>
        <v>6240</v>
      </c>
    </row>
    <row r="78" spans="1:19" x14ac:dyDescent="0.2">
      <c r="A78">
        <v>2025</v>
      </c>
      <c r="B78" s="2">
        <v>45692</v>
      </c>
      <c r="C78" s="2">
        <v>45697</v>
      </c>
      <c r="D78" s="2" t="s">
        <v>145</v>
      </c>
      <c r="E78" s="5" t="s">
        <v>35</v>
      </c>
      <c r="F78" t="s">
        <v>7</v>
      </c>
      <c r="G78" t="s">
        <v>26</v>
      </c>
      <c r="H78" t="s">
        <v>15</v>
      </c>
      <c r="I78" t="s">
        <v>107</v>
      </c>
      <c r="J78" s="4">
        <v>202</v>
      </c>
      <c r="K78" s="8">
        <f>IFERROR(VLOOKUP(E78, ทีมช่าง!$A$2:$C$33, 3, 0), 0)</f>
        <v>80</v>
      </c>
      <c r="L78" s="8">
        <f t="shared" si="5"/>
        <v>16160</v>
      </c>
      <c r="M78" s="8">
        <v>5000</v>
      </c>
      <c r="N78" s="8">
        <v>5000</v>
      </c>
      <c r="O78" s="8">
        <v>5000</v>
      </c>
      <c r="P78" s="8">
        <v>15000</v>
      </c>
      <c r="Q78" s="8">
        <f t="shared" si="7"/>
        <v>16160</v>
      </c>
      <c r="R78" s="8">
        <v>16160</v>
      </c>
      <c r="S78" s="8">
        <f t="shared" si="6"/>
        <v>16160</v>
      </c>
    </row>
    <row r="79" spans="1:19" x14ac:dyDescent="0.2">
      <c r="A79">
        <v>2025</v>
      </c>
      <c r="B79" s="2">
        <v>45683</v>
      </c>
      <c r="C79" s="2">
        <v>45688</v>
      </c>
      <c r="D79" s="2" t="s">
        <v>145</v>
      </c>
      <c r="E79" s="5" t="s">
        <v>151</v>
      </c>
      <c r="F79" t="s">
        <v>132</v>
      </c>
      <c r="G79" t="s">
        <v>26</v>
      </c>
      <c r="H79" t="s">
        <v>15</v>
      </c>
      <c r="I79" s="5" t="s">
        <v>18</v>
      </c>
      <c r="J79" s="4">
        <v>16000</v>
      </c>
      <c r="K79" s="8">
        <f>IFERROR(VLOOKUP(E79, ทีมช่าง!$A$2:$C$33, 3, 0), 0)</f>
        <v>1</v>
      </c>
      <c r="L79" s="8">
        <f t="shared" si="5"/>
        <v>16000</v>
      </c>
      <c r="M79" s="8">
        <v>0</v>
      </c>
      <c r="N79" s="8">
        <v>0</v>
      </c>
      <c r="O79" s="8">
        <v>0</v>
      </c>
      <c r="P79" s="8">
        <v>0</v>
      </c>
      <c r="Q79" s="8">
        <f t="shared" si="7"/>
        <v>16000</v>
      </c>
      <c r="R79" s="8">
        <v>16000</v>
      </c>
      <c r="S79" s="8">
        <f t="shared" si="6"/>
        <v>16000</v>
      </c>
    </row>
    <row r="80" spans="1:19" x14ac:dyDescent="0.2">
      <c r="A80">
        <v>2025</v>
      </c>
      <c r="B80" s="2">
        <v>45693</v>
      </c>
      <c r="C80" s="2">
        <v>45698</v>
      </c>
      <c r="D80" s="2" t="s">
        <v>145</v>
      </c>
      <c r="E80" s="5" t="s">
        <v>39</v>
      </c>
      <c r="F80" t="s">
        <v>70</v>
      </c>
      <c r="G80" t="s">
        <v>26</v>
      </c>
      <c r="H80" t="s">
        <v>15</v>
      </c>
      <c r="I80" t="s">
        <v>111</v>
      </c>
      <c r="J80" s="4">
        <v>115</v>
      </c>
      <c r="K80" s="8">
        <f>IFERROR(VLOOKUP(E80, ทีมช่าง!$A$2:$C$33, 3, 0), 0)</f>
        <v>70</v>
      </c>
      <c r="L80" s="8">
        <f t="shared" si="5"/>
        <v>8050</v>
      </c>
      <c r="M80" s="8">
        <v>0</v>
      </c>
      <c r="N80" s="8">
        <v>0</v>
      </c>
      <c r="O80" s="8">
        <v>0</v>
      </c>
      <c r="P80" s="8">
        <v>0</v>
      </c>
      <c r="Q80" s="8">
        <f t="shared" si="7"/>
        <v>8050</v>
      </c>
      <c r="R80" s="8">
        <v>8050</v>
      </c>
      <c r="S80" s="8">
        <f t="shared" si="6"/>
        <v>8050</v>
      </c>
    </row>
    <row r="81" spans="1:19" x14ac:dyDescent="0.2">
      <c r="A81">
        <v>2025</v>
      </c>
      <c r="B81" s="2">
        <v>45684</v>
      </c>
      <c r="C81" s="2">
        <v>45689</v>
      </c>
      <c r="D81" s="2" t="s">
        <v>145</v>
      </c>
      <c r="E81" s="5" t="s">
        <v>35</v>
      </c>
      <c r="F81" t="s">
        <v>71</v>
      </c>
      <c r="G81" t="s">
        <v>26</v>
      </c>
      <c r="H81" t="s">
        <v>15</v>
      </c>
      <c r="I81" t="s">
        <v>107</v>
      </c>
      <c r="J81" s="4">
        <v>147</v>
      </c>
      <c r="K81" s="8">
        <f>IFERROR(VLOOKUP(E81, ทีมช่าง!$A$2:$C$33, 3, 0), 0)</f>
        <v>80</v>
      </c>
      <c r="L81" s="8">
        <f t="shared" si="5"/>
        <v>11760</v>
      </c>
      <c r="M81" s="8">
        <v>5000</v>
      </c>
      <c r="N81" s="8">
        <v>5000</v>
      </c>
      <c r="O81" s="8">
        <v>5000</v>
      </c>
      <c r="P81" s="8">
        <v>11500</v>
      </c>
      <c r="Q81" s="8">
        <f t="shared" si="7"/>
        <v>15260</v>
      </c>
      <c r="R81" s="8">
        <v>15260</v>
      </c>
      <c r="S81" s="8">
        <f t="shared" si="6"/>
        <v>15260</v>
      </c>
    </row>
    <row r="82" spans="1:19" x14ac:dyDescent="0.2">
      <c r="A82">
        <v>2025</v>
      </c>
      <c r="B82" s="2">
        <v>45694</v>
      </c>
      <c r="C82" s="2">
        <v>45699</v>
      </c>
      <c r="D82" s="2" t="s">
        <v>145</v>
      </c>
      <c r="E82" s="5" t="s">
        <v>38</v>
      </c>
      <c r="F82" t="s">
        <v>72</v>
      </c>
      <c r="G82" t="s">
        <v>26</v>
      </c>
      <c r="H82" t="s">
        <v>15</v>
      </c>
      <c r="I82" t="s">
        <v>107</v>
      </c>
      <c r="J82" s="4">
        <v>71</v>
      </c>
      <c r="K82" s="8">
        <f>IFERROR(VLOOKUP(E82, ทีมช่าง!$A$2:$C$33, 3, 0), 0)</f>
        <v>70</v>
      </c>
      <c r="L82" s="8">
        <f t="shared" si="5"/>
        <v>4970</v>
      </c>
      <c r="M82" s="8">
        <v>0</v>
      </c>
      <c r="N82" s="8">
        <v>0</v>
      </c>
      <c r="O82" s="8">
        <v>0</v>
      </c>
      <c r="P82" s="8">
        <v>0</v>
      </c>
      <c r="Q82" s="8">
        <f t="shared" si="7"/>
        <v>4970</v>
      </c>
      <c r="R82" s="8">
        <v>4970</v>
      </c>
      <c r="S82" s="8">
        <f t="shared" si="6"/>
        <v>4970</v>
      </c>
    </row>
    <row r="83" spans="1:19" x14ac:dyDescent="0.2">
      <c r="A83">
        <v>2025</v>
      </c>
      <c r="B83" s="2">
        <v>45685</v>
      </c>
      <c r="C83" s="2">
        <v>45690</v>
      </c>
      <c r="D83" s="2" t="s">
        <v>145</v>
      </c>
      <c r="E83" s="5" t="s">
        <v>35</v>
      </c>
      <c r="F83" t="s">
        <v>73</v>
      </c>
      <c r="G83" t="s">
        <v>26</v>
      </c>
      <c r="H83" t="s">
        <v>15</v>
      </c>
      <c r="I83" t="s">
        <v>112</v>
      </c>
      <c r="J83" s="4">
        <v>178</v>
      </c>
      <c r="K83" s="8">
        <f>IFERROR(VLOOKUP(E83, ทีมช่าง!$A$2:$C$33, 3, 0), 0)</f>
        <v>80</v>
      </c>
      <c r="L83" s="8">
        <f t="shared" si="5"/>
        <v>14240</v>
      </c>
      <c r="M83" s="8">
        <v>5000</v>
      </c>
      <c r="N83" s="8">
        <v>5000</v>
      </c>
      <c r="O83" s="8">
        <v>5000</v>
      </c>
      <c r="P83" s="8">
        <v>11500</v>
      </c>
      <c r="Q83" s="8">
        <f t="shared" si="7"/>
        <v>17740</v>
      </c>
      <c r="R83" s="8">
        <v>17740</v>
      </c>
      <c r="S83" s="8">
        <f t="shared" si="6"/>
        <v>17740</v>
      </c>
    </row>
    <row r="84" spans="1:19" s="5" customFormat="1" x14ac:dyDescent="0.2">
      <c r="A84" s="5">
        <v>2026</v>
      </c>
      <c r="B84" s="6">
        <v>46025</v>
      </c>
      <c r="C84" s="6">
        <v>46045</v>
      </c>
      <c r="D84" s="6" t="s">
        <v>145</v>
      </c>
      <c r="E84" s="5" t="s">
        <v>38</v>
      </c>
      <c r="F84" s="5" t="s">
        <v>135</v>
      </c>
      <c r="G84" s="5" t="s">
        <v>26</v>
      </c>
      <c r="H84" s="5" t="s">
        <v>15</v>
      </c>
      <c r="I84" s="5" t="s">
        <v>138</v>
      </c>
      <c r="J84" s="7">
        <v>107</v>
      </c>
      <c r="K84" s="9">
        <f>IFERROR(VLOOKUP(E84, ทีมช่าง!$A$2:$C$33, 3, 0), 0)</f>
        <v>70</v>
      </c>
      <c r="L84" s="9">
        <f t="shared" si="5"/>
        <v>7490</v>
      </c>
      <c r="M84" s="9">
        <v>0</v>
      </c>
      <c r="N84" s="9">
        <v>0</v>
      </c>
      <c r="O84" s="9">
        <v>0</v>
      </c>
      <c r="P84" s="9">
        <v>0</v>
      </c>
      <c r="Q84" s="9">
        <f t="shared" si="7"/>
        <v>7490</v>
      </c>
      <c r="R84" s="9">
        <v>0</v>
      </c>
      <c r="S84" s="9">
        <f t="shared" si="6"/>
        <v>7490</v>
      </c>
    </row>
    <row r="85" spans="1:19" s="5" customFormat="1" x14ac:dyDescent="0.2">
      <c r="A85" s="5">
        <v>2026</v>
      </c>
      <c r="B85" s="6">
        <v>46032</v>
      </c>
      <c r="C85" s="6">
        <v>46048</v>
      </c>
      <c r="D85" s="6" t="s">
        <v>145</v>
      </c>
      <c r="E85" s="5" t="s">
        <v>150</v>
      </c>
      <c r="F85" s="5" t="s">
        <v>133</v>
      </c>
      <c r="G85" s="5" t="s">
        <v>144</v>
      </c>
      <c r="H85" s="5" t="s">
        <v>144</v>
      </c>
      <c r="I85" s="5" t="s">
        <v>18</v>
      </c>
      <c r="J85" s="7">
        <v>2000</v>
      </c>
      <c r="K85" s="9">
        <f>IFERROR(VLOOKUP(E85, ทีมช่าง!$A$2:$C$33, 3, 0), 0)</f>
        <v>1</v>
      </c>
      <c r="L85" s="9">
        <f t="shared" ref="L85" si="8">J85*K85</f>
        <v>2000</v>
      </c>
      <c r="M85" s="9">
        <v>0</v>
      </c>
      <c r="N85" s="9">
        <v>0</v>
      </c>
      <c r="O85" s="9">
        <v>0</v>
      </c>
      <c r="P85" s="9">
        <v>0</v>
      </c>
      <c r="Q85" s="9">
        <f t="shared" si="7"/>
        <v>2000</v>
      </c>
      <c r="R85" s="9">
        <v>0</v>
      </c>
      <c r="S85" s="9">
        <f t="shared" ref="S85" si="9">(K85*J85)+(M85+N85+O85)-P85</f>
        <v>2000</v>
      </c>
    </row>
    <row r="86" spans="1:19" s="5" customFormat="1" x14ac:dyDescent="0.2">
      <c r="A86" s="5">
        <v>2026</v>
      </c>
      <c r="B86" s="6">
        <v>46040</v>
      </c>
      <c r="C86" s="6">
        <v>46048</v>
      </c>
      <c r="D86" s="6" t="s">
        <v>2</v>
      </c>
      <c r="E86" s="5" t="s">
        <v>35</v>
      </c>
      <c r="F86" s="5" t="s">
        <v>134</v>
      </c>
      <c r="G86" s="5" t="s">
        <v>26</v>
      </c>
      <c r="H86" s="5" t="s">
        <v>15</v>
      </c>
      <c r="I86" s="5" t="s">
        <v>107</v>
      </c>
      <c r="J86" s="7">
        <v>91</v>
      </c>
      <c r="K86" s="9">
        <f>IFERROR(VLOOKUP(E86, ทีมช่าง!$A$2:$C$33, 3, 0), 0)</f>
        <v>80</v>
      </c>
      <c r="L86" s="9">
        <f>J86*K86</f>
        <v>7280</v>
      </c>
      <c r="M86" s="9">
        <v>0</v>
      </c>
      <c r="N86" s="9">
        <v>0</v>
      </c>
      <c r="O86" s="9">
        <v>0</v>
      </c>
      <c r="P86" s="9">
        <v>0</v>
      </c>
      <c r="Q86" s="9">
        <f>K86*J86+M86+N86+O86-P86</f>
        <v>7280</v>
      </c>
      <c r="R86" s="9">
        <v>0</v>
      </c>
      <c r="S86" s="9">
        <f>(K86*J86)+(M86+N86+O86)-P86</f>
        <v>7280</v>
      </c>
    </row>
    <row r="87" spans="1:19" s="5" customFormat="1" x14ac:dyDescent="0.2">
      <c r="A87" s="5">
        <v>2026</v>
      </c>
      <c r="B87" s="6">
        <v>46006</v>
      </c>
      <c r="C87" s="6">
        <v>46040</v>
      </c>
      <c r="D87" s="6" t="s">
        <v>2</v>
      </c>
      <c r="E87" s="5" t="s">
        <v>35</v>
      </c>
      <c r="F87" s="5" t="s">
        <v>161</v>
      </c>
      <c r="G87" s="5" t="s">
        <v>26</v>
      </c>
      <c r="H87" s="5" t="s">
        <v>15</v>
      </c>
      <c r="I87" s="5" t="s">
        <v>108</v>
      </c>
      <c r="J87" s="7">
        <v>178</v>
      </c>
      <c r="K87" s="9">
        <f>IFERROR(VLOOKUP(E87, ทีมช่าง!$A$2:$C$33, 3, 0), 0)</f>
        <v>80</v>
      </c>
      <c r="L87" s="9">
        <f>J87*K87</f>
        <v>14240</v>
      </c>
      <c r="M87" s="9">
        <v>0</v>
      </c>
      <c r="N87" s="9">
        <v>0</v>
      </c>
      <c r="O87" s="9">
        <v>0</v>
      </c>
      <c r="P87" s="9">
        <v>0</v>
      </c>
      <c r="Q87" s="9">
        <f>K87*J87+M87+N87+O87-P87</f>
        <v>14240</v>
      </c>
      <c r="R87" s="9">
        <v>0</v>
      </c>
      <c r="S87" s="9">
        <f>(K87*J87)+(M87+N87+O87)-P87</f>
        <v>14240</v>
      </c>
    </row>
    <row r="88" spans="1:19" s="5" customFormat="1" x14ac:dyDescent="0.2">
      <c r="A88" s="5">
        <v>2026</v>
      </c>
      <c r="B88" s="6">
        <v>45679</v>
      </c>
      <c r="C88" s="6">
        <v>46052</v>
      </c>
      <c r="D88" s="6" t="s">
        <v>2</v>
      </c>
      <c r="E88" s="5" t="s">
        <v>35</v>
      </c>
      <c r="F88" s="5" t="s">
        <v>148</v>
      </c>
      <c r="G88" s="5" t="s">
        <v>26</v>
      </c>
      <c r="H88" s="5" t="s">
        <v>15</v>
      </c>
      <c r="I88" s="5" t="s">
        <v>107</v>
      </c>
      <c r="J88" s="7">
        <v>118.5</v>
      </c>
      <c r="K88" s="9">
        <f>IFERROR(VLOOKUP(E88, ทีมช่าง!$A$2:$C$33, 3, 0), 0)</f>
        <v>80</v>
      </c>
      <c r="L88" s="9">
        <f>J88*K88</f>
        <v>9480</v>
      </c>
      <c r="M88" s="9">
        <v>0</v>
      </c>
      <c r="N88" s="9">
        <v>0</v>
      </c>
      <c r="O88" s="9">
        <v>0</v>
      </c>
      <c r="P88" s="9">
        <v>0</v>
      </c>
      <c r="Q88" s="9">
        <f>K88*J88+M88+N88+O88-P88</f>
        <v>9480</v>
      </c>
      <c r="R88" s="9">
        <v>0</v>
      </c>
      <c r="S88" s="9">
        <f>(K88*J88)+(M88+N88+O88)-P88</f>
        <v>9480</v>
      </c>
    </row>
    <row r="89" spans="1:19" s="5" customFormat="1" x14ac:dyDescent="0.2">
      <c r="A89" s="5">
        <v>2026</v>
      </c>
      <c r="B89" s="6">
        <v>46024</v>
      </c>
      <c r="C89" s="6">
        <v>46050</v>
      </c>
      <c r="D89" s="6" t="s">
        <v>145</v>
      </c>
      <c r="E89" s="5" t="s">
        <v>36</v>
      </c>
      <c r="F89" s="5" t="s">
        <v>147</v>
      </c>
      <c r="G89" s="5" t="s">
        <v>26</v>
      </c>
      <c r="H89" s="5" t="s">
        <v>15</v>
      </c>
      <c r="I89" s="5" t="s">
        <v>141</v>
      </c>
      <c r="J89" s="7">
        <v>87.5</v>
      </c>
      <c r="K89" s="9">
        <f>IFERROR(VLOOKUP(E89, ทีมช่าง!$A$2:$C$33, 3, 0), 0)</f>
        <v>80</v>
      </c>
      <c r="L89" s="9">
        <f t="shared" ref="L89" si="10">J89*K89</f>
        <v>7000</v>
      </c>
      <c r="M89" s="9">
        <v>0</v>
      </c>
      <c r="N89" s="9">
        <v>0</v>
      </c>
      <c r="O89" s="9">
        <v>0</v>
      </c>
      <c r="P89" s="9">
        <v>0</v>
      </c>
      <c r="Q89" s="9">
        <f t="shared" ref="Q89" si="11">K89*J89+M89+N89+O89-P89</f>
        <v>7000</v>
      </c>
      <c r="R89" s="9">
        <v>7000</v>
      </c>
      <c r="S89" s="9">
        <f t="shared" ref="S89" si="12">(K89*J89)+(M89+N89+O89)-P89</f>
        <v>7000</v>
      </c>
    </row>
    <row r="90" spans="1:19" s="5" customFormat="1" x14ac:dyDescent="0.2">
      <c r="A90" s="5">
        <v>2026</v>
      </c>
      <c r="B90" s="6">
        <v>45996</v>
      </c>
      <c r="C90" s="6">
        <v>46032</v>
      </c>
      <c r="D90" s="6" t="s">
        <v>145</v>
      </c>
      <c r="E90" s="5" t="s">
        <v>153</v>
      </c>
      <c r="F90" s="5" t="s">
        <v>136</v>
      </c>
      <c r="G90" s="5" t="s">
        <v>26</v>
      </c>
      <c r="H90" s="5" t="s">
        <v>15</v>
      </c>
      <c r="I90" s="5" t="s">
        <v>141</v>
      </c>
      <c r="J90" s="7">
        <v>18000</v>
      </c>
      <c r="K90" s="9">
        <f>IFERROR(VLOOKUP(E90, ทีมช่าง!$A$2:$C$33, 3, 0), 0)</f>
        <v>1</v>
      </c>
      <c r="L90" s="9">
        <f>J90*K90</f>
        <v>18000</v>
      </c>
      <c r="M90" s="9">
        <v>0</v>
      </c>
      <c r="N90" s="9">
        <v>0</v>
      </c>
      <c r="O90" s="9">
        <v>0</v>
      </c>
      <c r="P90" s="9">
        <v>0</v>
      </c>
      <c r="Q90" s="9">
        <f>K90*J90+M90+N90+O90-P90</f>
        <v>18000</v>
      </c>
      <c r="R90" s="9">
        <v>18000</v>
      </c>
      <c r="S90" s="9">
        <f>(K90*J90)+(M90+N90+O90)-P90</f>
        <v>18000</v>
      </c>
    </row>
  </sheetData>
  <autoFilter ref="A1:S85" xr:uid="{14491F87-EC4E-4DA4-B064-BCBB9B4A0E87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60CF9DC7-D324-4853-B5FC-AEAD5E756390}">
          <x14:formula1>
            <xm:f>สเปคงาน!$A:$A</xm:f>
          </x14:formula1>
          <xm:sqref>I79 I21 I50 I26 I16 I84:I85 I86:I90</xm:sqref>
        </x14:dataValidation>
        <x14:dataValidation type="list" allowBlank="1" showInputMessage="1" showErrorMessage="1" xr:uid="{210B9E10-CED1-4E7D-BA6F-C370AE681DBB}">
          <x14:formula1>
            <xm:f>ประเภทงาน!$A:$A</xm:f>
          </x14:formula1>
          <xm:sqref>G84 G86:G90</xm:sqref>
        </x14:dataValidation>
        <x14:dataValidation type="list" allowBlank="1" showInputMessage="1" showErrorMessage="1" xr:uid="{7369FC38-4835-44FE-AE17-EA4A1615B8B8}">
          <x14:formula1>
            <xm:f>ประเภทงาน!$A$1:$A$16</xm:f>
          </x14:formula1>
          <xm:sqref>G85</xm:sqref>
        </x14:dataValidation>
        <x14:dataValidation type="list" allowBlank="1" showInputMessage="1" showErrorMessage="1" xr:uid="{4740A40D-A96B-4B67-A5DB-7194C3A763F2}">
          <x14:formula1>
            <xm:f>บริการ!$A$1:$A$20</xm:f>
          </x14:formula1>
          <xm:sqref>H2:H85 H86:H90</xm:sqref>
        </x14:dataValidation>
        <x14:dataValidation type="list" allowBlank="1" showInputMessage="1" showErrorMessage="1" xr:uid="{12F46882-F624-4ECA-8B8D-5C07353CEC07}">
          <x14:formula1>
            <xm:f>ทีมช่าง!$A:$A</xm:f>
          </x14:formula1>
          <xm:sqref>E2:E85 E86:E90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5BA1-F600-4BE1-BDAD-20187A9B1416}">
  <dimension ref="A1:L30"/>
  <sheetViews>
    <sheetView workbookViewId="0">
      <selection activeCell="C35" sqref="C35"/>
    </sheetView>
  </sheetViews>
  <sheetFormatPr defaultRowHeight="14.25" x14ac:dyDescent="0.2"/>
  <cols>
    <col min="1" max="1" width="19.125" bestFit="1" customWidth="1"/>
    <col min="2" max="2" width="7.5" bestFit="1" customWidth="1"/>
    <col min="3" max="3" width="9" style="3" bestFit="1" customWidth="1"/>
    <col min="4" max="4" width="10.875" bestFit="1" customWidth="1"/>
    <col min="5" max="5" width="12.125" bestFit="1" customWidth="1"/>
    <col min="6" max="7" width="10.875" bestFit="1" customWidth="1"/>
    <col min="8" max="8" width="8.125" bestFit="1" customWidth="1"/>
    <col min="9" max="9" width="10.875" bestFit="1" customWidth="1"/>
    <col min="10" max="10" width="11.875" bestFit="1" customWidth="1"/>
    <col min="11" max="11" width="10.875" bestFit="1" customWidth="1"/>
    <col min="12" max="12" width="11.875" bestFit="1" customWidth="1"/>
  </cols>
  <sheetData>
    <row r="1" spans="1:12" x14ac:dyDescent="0.2">
      <c r="A1" t="s">
        <v>0</v>
      </c>
      <c r="B1" t="s">
        <v>25</v>
      </c>
      <c r="C1" s="3" t="s">
        <v>19</v>
      </c>
    </row>
    <row r="2" spans="1:12" x14ac:dyDescent="0.2">
      <c r="A2" t="s">
        <v>35</v>
      </c>
      <c r="B2" t="s">
        <v>20</v>
      </c>
      <c r="C2" s="3">
        <v>80</v>
      </c>
      <c r="D2" s="1"/>
      <c r="E2" s="1"/>
      <c r="F2" s="1"/>
      <c r="G2" s="1"/>
      <c r="H2" s="2"/>
      <c r="I2" s="1"/>
      <c r="J2" s="1"/>
      <c r="K2" s="1"/>
    </row>
    <row r="3" spans="1:12" x14ac:dyDescent="0.2">
      <c r="A3" t="s">
        <v>150</v>
      </c>
      <c r="B3" t="s">
        <v>20</v>
      </c>
      <c r="C3" s="3">
        <v>1</v>
      </c>
      <c r="D3" s="1"/>
      <c r="E3" s="1"/>
      <c r="F3" s="1"/>
      <c r="G3" s="1"/>
      <c r="H3" s="2"/>
      <c r="I3" s="1"/>
      <c r="J3" s="1"/>
      <c r="K3" s="1"/>
    </row>
    <row r="4" spans="1:12" x14ac:dyDescent="0.2">
      <c r="A4" t="s">
        <v>38</v>
      </c>
      <c r="B4" t="s">
        <v>22</v>
      </c>
      <c r="C4" s="3">
        <v>70</v>
      </c>
      <c r="D4" s="1"/>
      <c r="E4" s="1"/>
      <c r="F4" s="1"/>
      <c r="G4" s="1"/>
      <c r="H4" s="2"/>
      <c r="I4" s="1"/>
      <c r="J4" s="1"/>
      <c r="K4" s="1"/>
      <c r="L4" s="1"/>
    </row>
    <row r="5" spans="1:12" x14ac:dyDescent="0.2">
      <c r="A5" t="s">
        <v>151</v>
      </c>
      <c r="B5" t="s">
        <v>22</v>
      </c>
      <c r="C5" s="3">
        <v>1</v>
      </c>
      <c r="D5" s="1"/>
      <c r="E5" s="1"/>
      <c r="F5" s="1"/>
      <c r="G5" s="1"/>
      <c r="H5" s="2"/>
      <c r="I5" s="1"/>
      <c r="J5" s="1"/>
      <c r="K5" s="1"/>
      <c r="L5" s="1"/>
    </row>
    <row r="6" spans="1:12" x14ac:dyDescent="0.2">
      <c r="A6" t="s">
        <v>39</v>
      </c>
      <c r="B6" t="s">
        <v>21</v>
      </c>
      <c r="C6" s="3">
        <v>70</v>
      </c>
      <c r="D6" s="1"/>
      <c r="E6" s="1"/>
      <c r="F6" s="1"/>
      <c r="G6" s="1"/>
      <c r="H6" s="2"/>
      <c r="I6" s="1"/>
      <c r="J6" s="1"/>
      <c r="K6" s="1"/>
    </row>
    <row r="7" spans="1:12" x14ac:dyDescent="0.2">
      <c r="A7" t="s">
        <v>152</v>
      </c>
      <c r="B7" t="s">
        <v>21</v>
      </c>
      <c r="C7" s="3">
        <v>1</v>
      </c>
      <c r="D7" s="1"/>
      <c r="E7" s="1"/>
      <c r="F7" s="1"/>
      <c r="G7" s="1"/>
      <c r="H7" s="2"/>
      <c r="I7" s="1"/>
      <c r="J7" s="1"/>
      <c r="K7" s="1"/>
    </row>
    <row r="8" spans="1:12" x14ac:dyDescent="0.2">
      <c r="A8" t="s">
        <v>36</v>
      </c>
      <c r="B8" t="s">
        <v>22</v>
      </c>
      <c r="C8" s="3">
        <v>80</v>
      </c>
      <c r="D8" s="1"/>
      <c r="E8" s="1"/>
      <c r="F8" s="1"/>
      <c r="G8" s="1"/>
      <c r="H8" s="2"/>
      <c r="I8" s="1"/>
      <c r="J8" s="1"/>
      <c r="K8" s="1"/>
    </row>
    <row r="9" spans="1:12" x14ac:dyDescent="0.2">
      <c r="A9" t="s">
        <v>153</v>
      </c>
      <c r="B9" t="s">
        <v>22</v>
      </c>
      <c r="C9" s="3">
        <v>1</v>
      </c>
      <c r="D9" s="1"/>
      <c r="E9" s="1"/>
      <c r="F9" s="1"/>
      <c r="G9" s="1"/>
      <c r="H9" s="2"/>
      <c r="I9" s="1"/>
      <c r="J9" s="1"/>
      <c r="K9" s="1"/>
    </row>
    <row r="10" spans="1:12" x14ac:dyDescent="0.2">
      <c r="A10" t="s">
        <v>37</v>
      </c>
      <c r="B10" t="s">
        <v>22</v>
      </c>
      <c r="C10" s="3">
        <v>85</v>
      </c>
      <c r="D10" s="1"/>
      <c r="E10" s="1"/>
      <c r="F10" s="1"/>
      <c r="G10" s="1"/>
      <c r="H10" s="2"/>
      <c r="I10" s="1"/>
      <c r="K10" s="1"/>
    </row>
    <row r="11" spans="1:12" x14ac:dyDescent="0.2">
      <c r="A11" t="s">
        <v>146</v>
      </c>
      <c r="B11" t="s">
        <v>22</v>
      </c>
      <c r="C11" s="3">
        <v>1</v>
      </c>
      <c r="D11" s="1"/>
      <c r="E11" s="1"/>
      <c r="F11" s="1"/>
      <c r="G11" s="1"/>
      <c r="H11" s="2"/>
      <c r="I11" s="1"/>
      <c r="K11" s="1"/>
    </row>
    <row r="12" spans="1:12" x14ac:dyDescent="0.2">
      <c r="A12" t="s">
        <v>10</v>
      </c>
      <c r="B12" t="s">
        <v>22</v>
      </c>
      <c r="C12" s="3">
        <v>35</v>
      </c>
      <c r="D12" s="1"/>
      <c r="E12" s="1"/>
      <c r="F12" s="1"/>
      <c r="G12" s="1"/>
      <c r="H12" s="2"/>
      <c r="I12" s="1"/>
      <c r="K12" s="1"/>
    </row>
    <row r="13" spans="1:12" x14ac:dyDescent="0.2">
      <c r="A13" t="s">
        <v>18</v>
      </c>
      <c r="B13" t="s">
        <v>24</v>
      </c>
      <c r="C13" s="3">
        <v>1</v>
      </c>
      <c r="D13" s="1"/>
      <c r="E13" s="1"/>
      <c r="F13" s="1"/>
      <c r="G13" s="1"/>
      <c r="H13" s="2"/>
      <c r="I13" s="1"/>
      <c r="J13" s="1"/>
      <c r="K13" s="1"/>
    </row>
    <row r="14" spans="1:12" x14ac:dyDescent="0.2">
      <c r="A14" t="s">
        <v>23</v>
      </c>
      <c r="B14" t="s">
        <v>24</v>
      </c>
      <c r="C14" s="3">
        <v>1</v>
      </c>
      <c r="D14" s="1"/>
      <c r="E14" s="1"/>
      <c r="F14" s="1"/>
      <c r="G14" s="1"/>
      <c r="H14" s="2"/>
      <c r="I14" s="1"/>
      <c r="K14" s="1"/>
    </row>
    <row r="15" spans="1:12" x14ac:dyDescent="0.2">
      <c r="D15" s="1"/>
      <c r="E15" s="1"/>
      <c r="F15" s="1"/>
      <c r="G15" s="1"/>
      <c r="H15" s="2"/>
      <c r="I15" s="1"/>
      <c r="K15" s="1"/>
    </row>
    <row r="16" spans="1:12" x14ac:dyDescent="0.2">
      <c r="D16" s="1"/>
      <c r="E16" s="1"/>
      <c r="F16" s="1"/>
      <c r="G16" s="1"/>
      <c r="H16" s="2"/>
      <c r="I16" s="1"/>
      <c r="J16" s="1"/>
      <c r="K16" s="1"/>
      <c r="L16" s="1"/>
    </row>
    <row r="17" spans="4:12" x14ac:dyDescent="0.2">
      <c r="D17" s="1"/>
      <c r="E17" s="1"/>
      <c r="F17" s="1"/>
      <c r="G17" s="1"/>
      <c r="H17" s="2"/>
      <c r="I17" s="1"/>
      <c r="K17" s="1"/>
    </row>
    <row r="18" spans="4:12" x14ac:dyDescent="0.2">
      <c r="D18" s="1"/>
      <c r="E18" s="1"/>
      <c r="F18" s="1"/>
      <c r="G18" s="1"/>
      <c r="H18" s="2"/>
      <c r="I18" s="1"/>
      <c r="J18" s="1"/>
      <c r="K18" s="1"/>
    </row>
    <row r="19" spans="4:12" x14ac:dyDescent="0.2">
      <c r="D19" s="1"/>
      <c r="E19" s="1"/>
      <c r="F19" s="1"/>
      <c r="G19" s="1"/>
      <c r="H19" s="2"/>
      <c r="I19" s="1"/>
      <c r="K19" s="1"/>
    </row>
    <row r="20" spans="4:12" x14ac:dyDescent="0.2">
      <c r="D20" s="1"/>
      <c r="E20" s="1"/>
      <c r="F20" s="1"/>
      <c r="G20" s="1"/>
      <c r="H20" s="2"/>
      <c r="I20" s="1"/>
      <c r="J20" s="1"/>
      <c r="K20" s="1"/>
      <c r="L20" s="1"/>
    </row>
    <row r="21" spans="4:12" x14ac:dyDescent="0.2">
      <c r="D21" s="1"/>
      <c r="E21" s="1"/>
      <c r="F21" s="1"/>
      <c r="G21" s="1"/>
      <c r="H21" s="2"/>
      <c r="I21" s="1"/>
      <c r="J21" s="1"/>
      <c r="K21" s="1"/>
      <c r="L21" s="1"/>
    </row>
    <row r="22" spans="4:12" x14ac:dyDescent="0.2">
      <c r="D22" s="1"/>
      <c r="E22" s="1"/>
      <c r="F22" s="1"/>
      <c r="G22" s="1"/>
      <c r="H22" s="2"/>
      <c r="I22" s="1"/>
      <c r="J22" s="1"/>
      <c r="K22" s="1"/>
      <c r="L22" s="1"/>
    </row>
    <row r="23" spans="4:12" x14ac:dyDescent="0.2">
      <c r="D23" s="1"/>
      <c r="E23" s="1"/>
      <c r="F23" s="1"/>
      <c r="G23" s="1"/>
      <c r="H23" s="2"/>
      <c r="I23" s="1"/>
      <c r="J23" s="1"/>
    </row>
    <row r="24" spans="4:12" x14ac:dyDescent="0.2">
      <c r="D24" s="1"/>
      <c r="E24" s="1"/>
      <c r="F24" s="1"/>
      <c r="G24" s="1"/>
      <c r="H24" s="2"/>
      <c r="I24" s="1"/>
    </row>
    <row r="25" spans="4:12" x14ac:dyDescent="0.2">
      <c r="D25" s="1"/>
      <c r="E25" s="1"/>
      <c r="F25" s="1"/>
      <c r="G25" s="1"/>
      <c r="H25" s="2"/>
      <c r="I25" s="1"/>
      <c r="J25" s="1"/>
    </row>
    <row r="26" spans="4:12" x14ac:dyDescent="0.2">
      <c r="D26" s="1"/>
      <c r="E26" s="1"/>
      <c r="F26" s="1"/>
      <c r="G26" s="1"/>
      <c r="H26" s="2"/>
      <c r="I26" s="1"/>
    </row>
    <row r="27" spans="4:12" x14ac:dyDescent="0.2">
      <c r="D27" s="1"/>
      <c r="E27" s="1"/>
      <c r="F27" s="1"/>
      <c r="G27" s="1"/>
      <c r="H27" s="2"/>
      <c r="I27" s="1"/>
    </row>
    <row r="28" spans="4:12" x14ac:dyDescent="0.2">
      <c r="D28" s="1"/>
      <c r="E28" s="1"/>
      <c r="F28" s="1"/>
      <c r="G28" s="1"/>
      <c r="H28" s="2"/>
      <c r="I28" s="1"/>
      <c r="J28" s="1"/>
    </row>
    <row r="29" spans="4:12" x14ac:dyDescent="0.2">
      <c r="D29" s="1"/>
      <c r="E29" s="1"/>
      <c r="F29" s="1"/>
      <c r="G29" s="1"/>
      <c r="H29" s="2"/>
      <c r="I29" s="1"/>
    </row>
    <row r="30" spans="4:12" x14ac:dyDescent="0.2">
      <c r="D30" s="1"/>
      <c r="E30" s="1"/>
      <c r="F30" s="1"/>
      <c r="G30" s="1"/>
      <c r="I30" s="1"/>
      <c r="J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206B-E24C-475B-A893-C2B17DD5B625}">
  <dimension ref="A1:A11"/>
  <sheetViews>
    <sheetView workbookViewId="0">
      <selection activeCell="A2" sqref="A2"/>
    </sheetView>
  </sheetViews>
  <sheetFormatPr defaultRowHeight="14.25" x14ac:dyDescent="0.2"/>
  <cols>
    <col min="1" max="1" width="15.5" bestFit="1" customWidth="1"/>
  </cols>
  <sheetData>
    <row r="1" spans="1:1" x14ac:dyDescent="0.2">
      <c r="A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10</v>
      </c>
    </row>
    <row r="5" spans="1:1" x14ac:dyDescent="0.2">
      <c r="A5" t="s">
        <v>31</v>
      </c>
    </row>
    <row r="6" spans="1:1" x14ac:dyDescent="0.2">
      <c r="A6" t="s">
        <v>34</v>
      </c>
    </row>
    <row r="7" spans="1:1" x14ac:dyDescent="0.2">
      <c r="A7" t="s">
        <v>17</v>
      </c>
    </row>
    <row r="8" spans="1:1" x14ac:dyDescent="0.2">
      <c r="A8" t="s">
        <v>32</v>
      </c>
    </row>
    <row r="9" spans="1:1" x14ac:dyDescent="0.2">
      <c r="A9" t="s">
        <v>144</v>
      </c>
    </row>
    <row r="10" spans="1:1" x14ac:dyDescent="0.2">
      <c r="A10" t="s">
        <v>33</v>
      </c>
    </row>
    <row r="11" spans="1:1" x14ac:dyDescent="0.2">
      <c r="A1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A66A-3C35-4FC2-80B7-F054A324DA26}">
  <dimension ref="A1:A13"/>
  <sheetViews>
    <sheetView workbookViewId="0">
      <selection activeCell="D20" sqref="D20"/>
    </sheetView>
  </sheetViews>
  <sheetFormatPr defaultRowHeight="14.25" x14ac:dyDescent="0.2"/>
  <cols>
    <col min="1" max="1" width="18.375" bestFit="1" customWidth="1"/>
  </cols>
  <sheetData>
    <row r="1" spans="1:1" x14ac:dyDescent="0.2">
      <c r="A1" t="s">
        <v>12</v>
      </c>
    </row>
    <row r="2" spans="1:1" x14ac:dyDescent="0.2">
      <c r="A2" t="s">
        <v>26</v>
      </c>
    </row>
    <row r="3" spans="1:1" x14ac:dyDescent="0.2">
      <c r="A3" t="s">
        <v>27</v>
      </c>
    </row>
    <row r="4" spans="1:1" x14ac:dyDescent="0.2">
      <c r="A4" t="s">
        <v>28</v>
      </c>
    </row>
    <row r="5" spans="1:1" x14ac:dyDescent="0.2">
      <c r="A5" t="s">
        <v>3</v>
      </c>
    </row>
    <row r="6" spans="1:1" x14ac:dyDescent="0.2">
      <c r="A6" t="s">
        <v>29</v>
      </c>
    </row>
    <row r="7" spans="1:1" x14ac:dyDescent="0.2">
      <c r="A7" t="s">
        <v>30</v>
      </c>
    </row>
    <row r="8" spans="1:1" x14ac:dyDescent="0.2">
      <c r="A8" t="s">
        <v>32</v>
      </c>
    </row>
    <row r="9" spans="1:1" x14ac:dyDescent="0.2">
      <c r="A9" t="s">
        <v>123</v>
      </c>
    </row>
    <row r="10" spans="1:1" x14ac:dyDescent="0.2">
      <c r="A10" t="s">
        <v>10</v>
      </c>
    </row>
    <row r="11" spans="1:1" x14ac:dyDescent="0.2">
      <c r="A11" t="s">
        <v>144</v>
      </c>
    </row>
    <row r="12" spans="1:1" x14ac:dyDescent="0.2">
      <c r="A12" t="s">
        <v>33</v>
      </c>
    </row>
    <row r="13" spans="1:1" x14ac:dyDescent="0.2">
      <c r="A1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5395-AE33-4E44-A083-0B0BF6055E45}">
  <dimension ref="A1:A18"/>
  <sheetViews>
    <sheetView workbookViewId="0">
      <selection activeCell="G22" sqref="G22"/>
    </sheetView>
  </sheetViews>
  <sheetFormatPr defaultRowHeight="14.25" x14ac:dyDescent="0.2"/>
  <cols>
    <col min="1" max="1" width="22.5" bestFit="1" customWidth="1"/>
  </cols>
  <sheetData>
    <row r="1" spans="1:1" x14ac:dyDescent="0.2">
      <c r="A1" t="s">
        <v>13</v>
      </c>
    </row>
    <row r="2" spans="1:1" x14ac:dyDescent="0.2">
      <c r="A2" t="s">
        <v>114</v>
      </c>
    </row>
    <row r="3" spans="1:1" x14ac:dyDescent="0.2">
      <c r="A3" t="s">
        <v>111</v>
      </c>
    </row>
    <row r="4" spans="1:1" x14ac:dyDescent="0.2">
      <c r="A4" t="s">
        <v>137</v>
      </c>
    </row>
    <row r="5" spans="1:1" x14ac:dyDescent="0.2">
      <c r="A5" t="s">
        <v>109</v>
      </c>
    </row>
    <row r="6" spans="1:1" x14ac:dyDescent="0.2">
      <c r="A6" t="s">
        <v>117</v>
      </c>
    </row>
    <row r="7" spans="1:1" x14ac:dyDescent="0.2">
      <c r="A7" t="s">
        <v>107</v>
      </c>
    </row>
    <row r="8" spans="1:1" x14ac:dyDescent="0.2">
      <c r="A8" t="s">
        <v>110</v>
      </c>
    </row>
    <row r="9" spans="1:1" x14ac:dyDescent="0.2">
      <c r="A9" t="s">
        <v>138</v>
      </c>
    </row>
    <row r="10" spans="1:1" x14ac:dyDescent="0.2">
      <c r="A10" t="s">
        <v>108</v>
      </c>
    </row>
    <row r="11" spans="1:1" x14ac:dyDescent="0.2">
      <c r="A11" t="s">
        <v>116</v>
      </c>
    </row>
    <row r="12" spans="1:1" x14ac:dyDescent="0.2">
      <c r="A12" t="s">
        <v>139</v>
      </c>
    </row>
    <row r="13" spans="1:1" x14ac:dyDescent="0.2">
      <c r="A13" t="s">
        <v>141</v>
      </c>
    </row>
    <row r="14" spans="1:1" x14ac:dyDescent="0.2">
      <c r="A14" t="s">
        <v>140</v>
      </c>
    </row>
    <row r="15" spans="1:1" x14ac:dyDescent="0.2">
      <c r="A15" t="s">
        <v>142</v>
      </c>
    </row>
    <row r="16" spans="1:1" x14ac:dyDescent="0.2">
      <c r="A16" t="s">
        <v>143</v>
      </c>
    </row>
    <row r="17" spans="1:1" x14ac:dyDescent="0.2">
      <c r="A17" t="s">
        <v>18</v>
      </c>
    </row>
    <row r="18" spans="1:1" x14ac:dyDescent="0.2">
      <c r="A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Job-Suteechu</vt:lpstr>
      <vt:lpstr>ทีมช่าง</vt:lpstr>
      <vt:lpstr>บริการ</vt:lpstr>
      <vt:lpstr>ประเภทงาน</vt:lpstr>
      <vt:lpstr>สเปคงาน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Sutee Chuyram</dc:creator>
  <cp:lastModifiedBy>Sutee Chuyram</cp:lastModifiedBy>
  <dcterms:created xsi:type="dcterms:W3CDTF">2026-01-27T10:55:26Z</dcterms:created>
  <dcterms:modified xsi:type="dcterms:W3CDTF">2026-01-28T11:41:20Z</dcterms:modified>
</cp:coreProperties>
</file>